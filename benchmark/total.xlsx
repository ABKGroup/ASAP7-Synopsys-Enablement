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anglee/Desktop/ASAP7/"/>
    </mc:Choice>
  </mc:AlternateContent>
  <xr:revisionPtr revIDLastSave="0" documentId="13_ncr:9_{D1240EA6-6BC3-044C-9711-17E4305285CA}" xr6:coauthVersionLast="47" xr6:coauthVersionMax="47" xr10:uidLastSave="{00000000-0000-0000-0000-000000000000}"/>
  <bookViews>
    <workbookView xWindow="0" yWindow="620" windowWidth="51200" windowHeight="28180" activeTab="2" xr2:uid="{093B70D9-A218-AB4E-BAC6-366353A72B29}"/>
  </bookViews>
  <sheets>
    <sheet name="timing" sheetId="1" r:id="rId1"/>
    <sheet name="path" sheetId="2" r:id="rId2"/>
    <sheet name="net_cap" sheetId="3" r:id="rId3"/>
  </sheets>
  <calcPr calcId="0"/>
</workbook>
</file>

<file path=xl/calcChain.xml><?xml version="1.0" encoding="utf-8"?>
<calcChain xmlns="http://schemas.openxmlformats.org/spreadsheetml/2006/main">
  <c r="P101" i="1" l="1"/>
  <c r="J101" i="1"/>
  <c r="O101" i="1"/>
  <c r="I101" i="1"/>
  <c r="N101" i="1"/>
  <c r="H101" i="1"/>
  <c r="C23" i="3"/>
  <c r="C22" i="3"/>
  <c r="C21" i="3"/>
  <c r="R8" i="2"/>
  <c r="R19" i="2"/>
  <c r="R18" i="2"/>
  <c r="R17" i="2"/>
  <c r="R16" i="2"/>
  <c r="R15" i="2"/>
  <c r="R14" i="2"/>
  <c r="R13" i="2"/>
  <c r="R12" i="2"/>
  <c r="R11" i="2"/>
  <c r="R10" i="2"/>
  <c r="R9" i="2"/>
  <c r="R7" i="2"/>
  <c r="R6" i="2"/>
  <c r="R5" i="2"/>
  <c r="R3" i="2"/>
  <c r="R4" i="2"/>
  <c r="R2" i="2"/>
</calcChain>
</file>

<file path=xl/sharedStrings.xml><?xml version="1.0" encoding="utf-8"?>
<sst xmlns="http://schemas.openxmlformats.org/spreadsheetml/2006/main" count="460" uniqueCount="82">
  <si>
    <t>DESIGN</t>
  </si>
  <si>
    <t>PEX1</t>
  </si>
  <si>
    <t>STA1</t>
  </si>
  <si>
    <t>PEX2</t>
  </si>
  <si>
    <t>STA2</t>
  </si>
  <si>
    <t>CASE</t>
  </si>
  <si>
    <t>Cell_Delay (R2)</t>
  </si>
  <si>
    <t>Cell_Delay (mean_ad)</t>
  </si>
  <si>
    <t>Cell_Delay (max_ad)</t>
  </si>
  <si>
    <t>Cell_Delay (min)</t>
  </si>
  <si>
    <t>Cell_Delay (mean)</t>
  </si>
  <si>
    <t>Cell_Delay (max)</t>
  </si>
  <si>
    <t>Wire_Delay (R2)</t>
  </si>
  <si>
    <t>Wire_Delay (mean_ad)</t>
  </si>
  <si>
    <t>Wire_Delay (max_ad)</t>
  </si>
  <si>
    <t>Wire_Delay (min)</t>
  </si>
  <si>
    <t>Wire_Delay (mean)</t>
  </si>
  <si>
    <t>Wire_Delay (max)</t>
  </si>
  <si>
    <t>Cell_Slew (R2)</t>
  </si>
  <si>
    <t>Cell_Slew (mean_ad)</t>
  </si>
  <si>
    <t>Cell_Slew (max_ad)</t>
  </si>
  <si>
    <t>Cell_Slew (min)</t>
  </si>
  <si>
    <t>Cell_Slew (mean)</t>
  </si>
  <si>
    <t>Cell_Slew (max)</t>
  </si>
  <si>
    <t>Wire_Slew (R2)</t>
  </si>
  <si>
    <t>Wire_Slew (mean_ad)</t>
  </si>
  <si>
    <t>Wire_Slew (max_ad)</t>
  </si>
  <si>
    <t>Wire_Slew (min)</t>
  </si>
  <si>
    <t>Wire_Slew (mean)</t>
  </si>
  <si>
    <t>Wire_Slew (max)</t>
  </si>
  <si>
    <t>Arrival (R2)</t>
  </si>
  <si>
    <t>Arrival (mean_ad)</t>
  </si>
  <si>
    <t>Arrival (max_ad)</t>
  </si>
  <si>
    <t>Arrival (min)</t>
  </si>
  <si>
    <t>Arrival (mean)</t>
  </si>
  <si>
    <t>Arrival (max)</t>
  </si>
  <si>
    <t>Slack (R2)</t>
  </si>
  <si>
    <t>Slack (mean_ad)</t>
  </si>
  <si>
    <t>Slack (max_ad)</t>
  </si>
  <si>
    <t>Slack (min)</t>
  </si>
  <si>
    <t>Slack (mean)</t>
  </si>
  <si>
    <t>Slack (max)</t>
  </si>
  <si>
    <t>QTS</t>
  </si>
  <si>
    <t>TPS</t>
  </si>
  <si>
    <t>STRC</t>
  </si>
  <si>
    <t>PT</t>
  </si>
  <si>
    <t>NONE</t>
  </si>
  <si>
    <t>all</t>
  </si>
  <si>
    <t># of timing paths (case1+case2)</t>
  </si>
  <si>
    <t># of timing paths (case2)</t>
  </si>
  <si>
    <t># of timing paths (case1)</t>
  </si>
  <si>
    <t># of total timing paths</t>
  </si>
  <si>
    <t>R2</t>
  </si>
  <si>
    <t>mean_ad</t>
  </si>
  <si>
    <t>max_ad</t>
  </si>
  <si>
    <t>min_cap</t>
  </si>
  <si>
    <t>mean_cap</t>
  </si>
  <si>
    <t>std_cap</t>
  </si>
  <si>
    <t>max_cap</t>
  </si>
  <si>
    <t>Cell Delay</t>
  </si>
  <si>
    <t>Wire Delay</t>
  </si>
  <si>
    <t>Cell Slew</t>
  </si>
  <si>
    <t>Wire Slew</t>
  </si>
  <si>
    <t>Arrival</t>
  </si>
  <si>
    <t>Slack</t>
  </si>
  <si>
    <t>FLOW</t>
  </si>
  <si>
    <t>FLOW 1-1</t>
  </si>
  <si>
    <t>FLOW 2-2</t>
  </si>
  <si>
    <t>FLOW 2-1</t>
  </si>
  <si>
    <t>FLOW 3-1</t>
  </si>
  <si>
    <t>FLOW 3-3</t>
  </si>
  <si>
    <t>FLOW  3-2</t>
  </si>
  <si>
    <t>AES</t>
  </si>
  <si>
    <t>ARIANE</t>
  </si>
  <si>
    <t>BSG</t>
  </si>
  <si>
    <t>JPEG</t>
  </si>
  <si>
    <t>FLOW 3-2</t>
  </si>
  <si>
    <t>LOWEST</t>
  </si>
  <si>
    <t>AVERAGE</t>
  </si>
  <si>
    <t>HIGHEST</t>
  </si>
  <si>
    <t>Norm mean AD</t>
  </si>
  <si>
    <t>Norm max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</si>
</sst>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8F1-05E1-184C-9FA8-A05D71C74893}">
  <dimension ref="A1:AQ101"/>
  <sheetViews>
    <sheetView topLeftCell="A66" zoomScale="116" workbookViewId="0">
      <selection activeCell="R106" sqref="R106"/>
    </sheetView>
  </sheetViews>
  <sheetFormatPr baseColWidth="10" defaultRowHeight="16" x14ac:dyDescent="0.2"/>
  <cols>
    <col min="1" max="1" width="7.6640625" style="1" bestFit="1" customWidth="1"/>
    <col min="2" max="2" width="9.33203125" style="1" bestFit="1" customWidth="1"/>
    <col min="3" max="3" width="6.1640625" style="1" bestFit="1" customWidth="1"/>
    <col min="4" max="4" width="5" style="1" bestFit="1" customWidth="1"/>
    <col min="5" max="5" width="6.1640625" style="1" bestFit="1" customWidth="1"/>
    <col min="6" max="6" width="5" style="1" bestFit="1" customWidth="1"/>
    <col min="7" max="7" width="5.5" style="1" bestFit="1" customWidth="1"/>
    <col min="8" max="8" width="10.1640625" style="1" bestFit="1" customWidth="1"/>
    <col min="9" max="13" width="11.6640625" style="1" customWidth="1"/>
    <col min="14" max="15" width="5.83203125" style="1" customWidth="1"/>
    <col min="16" max="16" width="13.33203125" style="1" bestFit="1" customWidth="1"/>
    <col min="17" max="19" width="5.83203125" style="1" customWidth="1"/>
    <col min="20" max="20" width="13.83203125" style="1" bestFit="1" customWidth="1"/>
    <col min="21" max="21" width="1.33203125" style="1" customWidth="1"/>
    <col min="22" max="22" width="1.1640625" style="1" customWidth="1"/>
    <col min="23" max="23" width="1" style="1" customWidth="1"/>
    <col min="24" max="24" width="0.83203125" style="1" customWidth="1"/>
    <col min="25" max="25" width="1.1640625" style="1" customWidth="1"/>
    <col min="26" max="26" width="12.1640625" style="1" customWidth="1"/>
    <col min="27" max="27" width="0.1640625" style="1" customWidth="1"/>
    <col min="28" max="28" width="1" style="1" customWidth="1"/>
    <col min="29" max="29" width="1.33203125" style="1" customWidth="1"/>
    <col min="30" max="30" width="0.6640625" style="1" customWidth="1"/>
    <col min="31" max="31" width="0.83203125" style="1" customWidth="1"/>
    <col min="32" max="32" width="13" style="1" bestFit="1" customWidth="1"/>
    <col min="33" max="34" width="0.6640625" style="1" customWidth="1"/>
    <col min="35" max="35" width="1" style="1" customWidth="1"/>
    <col min="36" max="36" width="0.5" style="1" customWidth="1"/>
    <col min="37" max="37" width="0.6640625" style="1" customWidth="1"/>
    <col min="38" max="38" width="13.5" style="1" bestFit="1" customWidth="1"/>
    <col min="39" max="39" width="0.83203125" style="1" customWidth="1"/>
    <col min="40" max="40" width="0.5" style="1" customWidth="1"/>
    <col min="41" max="42" width="0.1640625" style="1" customWidth="1"/>
    <col min="43" max="43" width="0.83203125" style="1" customWidth="1"/>
    <col min="44" max="44" width="10.1640625" style="1" bestFit="1" customWidth="1"/>
    <col min="45" max="45" width="15.33203125" style="1" bestFit="1" customWidth="1"/>
    <col min="46" max="46" width="14.1640625" style="1" bestFit="1" customWidth="1"/>
    <col min="47" max="47" width="11" style="1" bestFit="1" customWidth="1"/>
    <col min="48" max="48" width="12.5" style="1" bestFit="1" customWidth="1"/>
    <col min="49" max="49" width="11.33203125" style="1" bestFit="1" customWidth="1"/>
    <col min="50" max="50" width="9.33203125" style="1" bestFit="1" customWidth="1"/>
    <col min="51" max="51" width="14.5" style="1" bestFit="1" customWidth="1"/>
    <col min="52" max="52" width="13.33203125" style="1" bestFit="1" customWidth="1"/>
    <col min="53" max="53" width="10.1640625" style="1" bestFit="1" customWidth="1"/>
    <col min="54" max="54" width="11.6640625" style="1" bestFit="1" customWidth="1"/>
    <col min="55" max="55" width="10.5" style="1" bestFit="1" customWidth="1"/>
    <col min="56" max="16384" width="10.83203125" style="1"/>
  </cols>
  <sheetData>
    <row r="1" spans="1:43" x14ac:dyDescent="0.2">
      <c r="A1" s="3"/>
      <c r="B1" s="3"/>
      <c r="C1" s="3"/>
      <c r="D1" s="3"/>
      <c r="E1" s="3"/>
      <c r="F1" s="3"/>
      <c r="G1" s="3"/>
      <c r="H1" s="3" t="s">
        <v>63</v>
      </c>
      <c r="I1" s="3"/>
      <c r="J1" s="3"/>
      <c r="K1" s="3"/>
      <c r="L1" s="3"/>
      <c r="M1" s="3"/>
      <c r="N1" s="3" t="s">
        <v>64</v>
      </c>
      <c r="O1" s="3"/>
      <c r="P1" s="3"/>
      <c r="Q1" s="3"/>
      <c r="R1" s="3"/>
      <c r="S1" s="3"/>
      <c r="T1" s="3" t="s">
        <v>59</v>
      </c>
      <c r="U1" s="3"/>
      <c r="V1" s="3"/>
      <c r="W1" s="3"/>
      <c r="X1" s="3"/>
      <c r="Y1" s="3"/>
      <c r="Z1" s="3" t="s">
        <v>60</v>
      </c>
      <c r="AA1" s="3"/>
      <c r="AB1" s="3"/>
      <c r="AC1" s="3"/>
      <c r="AD1" s="3"/>
      <c r="AE1" s="3"/>
      <c r="AF1" s="3" t="s">
        <v>61</v>
      </c>
      <c r="AG1" s="3"/>
      <c r="AH1" s="3"/>
      <c r="AI1" s="3"/>
      <c r="AJ1" s="3"/>
      <c r="AK1" s="3"/>
      <c r="AL1" s="3" t="s">
        <v>62</v>
      </c>
      <c r="AM1" s="3"/>
      <c r="AN1" s="3"/>
      <c r="AO1" s="3"/>
      <c r="AP1" s="3"/>
      <c r="AQ1" s="3"/>
    </row>
    <row r="2" spans="1:43" x14ac:dyDescent="0.2">
      <c r="A2" s="2" t="s">
        <v>0</v>
      </c>
      <c r="B2" s="2" t="s">
        <v>65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27</v>
      </c>
      <c r="AP2" s="2" t="s">
        <v>28</v>
      </c>
      <c r="AQ2" s="2" t="s">
        <v>29</v>
      </c>
    </row>
    <row r="3" spans="1:43" x14ac:dyDescent="0.2">
      <c r="A3" s="3" t="s">
        <v>72</v>
      </c>
      <c r="B3" s="4" t="s">
        <v>70</v>
      </c>
      <c r="C3" s="3" t="s">
        <v>46</v>
      </c>
      <c r="D3" s="3" t="s">
        <v>45</v>
      </c>
      <c r="E3" s="3" t="s">
        <v>46</v>
      </c>
      <c r="F3" s="3" t="s">
        <v>43</v>
      </c>
      <c r="G3" s="2">
        <v>1</v>
      </c>
      <c r="H3" s="2">
        <v>0.99780000000000002</v>
      </c>
      <c r="I3" s="2">
        <v>2.8361999999999998</v>
      </c>
      <c r="J3" s="2">
        <v>8.3666</v>
      </c>
      <c r="K3" s="2">
        <v>29.7715</v>
      </c>
      <c r="L3" s="2">
        <v>123.2461</v>
      </c>
      <c r="M3" s="2">
        <v>258.327</v>
      </c>
      <c r="N3" s="2">
        <v>0.99890000000000001</v>
      </c>
      <c r="O3" s="2">
        <v>1.6513</v>
      </c>
      <c r="P3" s="2">
        <v>6.9355000000000002</v>
      </c>
      <c r="Q3" s="2">
        <v>-33.22</v>
      </c>
      <c r="R3" s="2">
        <v>95.625900000000001</v>
      </c>
      <c r="S3" s="2">
        <v>184.85040000000001</v>
      </c>
      <c r="T3" s="2">
        <v>0.999</v>
      </c>
      <c r="U3" s="2">
        <v>0.26200000000000001</v>
      </c>
      <c r="V3" s="2">
        <v>3.1396999999999999</v>
      </c>
      <c r="W3" s="2">
        <v>-1.4617</v>
      </c>
      <c r="X3" s="2">
        <v>21.694299999999998</v>
      </c>
      <c r="Y3" s="2">
        <v>78.599999999999994</v>
      </c>
      <c r="Z3" s="2">
        <v>0.98370000000000002</v>
      </c>
      <c r="AA3" s="2">
        <v>0.24579999999999999</v>
      </c>
      <c r="AB3" s="2">
        <v>2.7799</v>
      </c>
      <c r="AC3" s="2">
        <v>-2.3166000000000002</v>
      </c>
      <c r="AD3" s="2">
        <v>0.13</v>
      </c>
      <c r="AE3" s="2">
        <v>26.2</v>
      </c>
      <c r="AF3" s="2">
        <v>0.99829999999999997</v>
      </c>
      <c r="AG3" s="2">
        <v>0.23799999999999999</v>
      </c>
      <c r="AH3" s="2">
        <v>19.185099999999998</v>
      </c>
      <c r="AI3" s="2">
        <v>3.7656000000000001</v>
      </c>
      <c r="AJ3" s="2">
        <v>18.673300000000001</v>
      </c>
      <c r="AK3" s="2">
        <v>131.80000000000001</v>
      </c>
      <c r="AL3" s="2">
        <v>0.96220000000000006</v>
      </c>
      <c r="AM3" s="2">
        <v>1.0896999999999999</v>
      </c>
      <c r="AN3" s="2">
        <v>25.0273</v>
      </c>
      <c r="AO3" s="2">
        <v>3.7656000000000001</v>
      </c>
      <c r="AP3" s="2">
        <v>20.6693</v>
      </c>
      <c r="AQ3" s="2">
        <v>131.80000000000001</v>
      </c>
    </row>
    <row r="4" spans="1:43" x14ac:dyDescent="0.2">
      <c r="A4" s="3"/>
      <c r="B4" s="5"/>
      <c r="C4" s="3"/>
      <c r="D4" s="3"/>
      <c r="E4" s="3"/>
      <c r="F4" s="3"/>
      <c r="G4" s="2">
        <v>2</v>
      </c>
      <c r="H4" s="2">
        <v>0.98970000000000002</v>
      </c>
      <c r="I4" s="2">
        <v>3.7887</v>
      </c>
      <c r="J4" s="2">
        <v>10.452999999999999</v>
      </c>
      <c r="K4" s="2">
        <v>77.763800000000003</v>
      </c>
      <c r="L4" s="2">
        <v>198.94929999999999</v>
      </c>
      <c r="M4" s="2">
        <v>251.62700000000001</v>
      </c>
      <c r="N4" s="2">
        <v>0.99470000000000003</v>
      </c>
      <c r="O4" s="2">
        <v>3.0634000000000001</v>
      </c>
      <c r="P4" s="2">
        <v>4.7464000000000004</v>
      </c>
      <c r="Q4" s="2">
        <v>-29.66</v>
      </c>
      <c r="R4" s="2">
        <v>23.6267</v>
      </c>
      <c r="S4" s="2">
        <v>142.59950000000001</v>
      </c>
      <c r="T4" s="2">
        <v>0.94889999999999997</v>
      </c>
      <c r="U4" s="2">
        <v>1.6714</v>
      </c>
      <c r="V4" s="2">
        <v>15.1509</v>
      </c>
      <c r="W4" s="2">
        <v>5.4</v>
      </c>
      <c r="X4" s="2">
        <v>17.619700000000002</v>
      </c>
      <c r="Y4" s="2">
        <v>74.599999999999994</v>
      </c>
      <c r="Z4" s="2">
        <v>-1.8008999999999999</v>
      </c>
      <c r="AA4" s="2">
        <v>1.2825</v>
      </c>
      <c r="AB4" s="2">
        <v>3.3477000000000001</v>
      </c>
      <c r="AC4" s="2">
        <v>-2.2477</v>
      </c>
      <c r="AD4" s="2">
        <v>1.77E-2</v>
      </c>
      <c r="AE4" s="2">
        <v>1.9121999999999999</v>
      </c>
      <c r="AF4" s="2">
        <v>0.86180000000000001</v>
      </c>
      <c r="AG4" s="2">
        <v>2.2240000000000002</v>
      </c>
      <c r="AH4" s="2">
        <v>19.0121</v>
      </c>
      <c r="AI4" s="2">
        <v>5.2735000000000003</v>
      </c>
      <c r="AJ4" s="2">
        <v>14.9092</v>
      </c>
      <c r="AK4" s="2">
        <v>109.6</v>
      </c>
      <c r="AL4" s="2">
        <v>0.64980000000000004</v>
      </c>
      <c r="AM4" s="2">
        <v>3.4329000000000001</v>
      </c>
      <c r="AN4" s="2">
        <v>24.415900000000001</v>
      </c>
      <c r="AO4" s="2">
        <v>5.2735000000000003</v>
      </c>
      <c r="AP4" s="2">
        <v>17.067699999999999</v>
      </c>
      <c r="AQ4" s="2">
        <v>109.6</v>
      </c>
    </row>
    <row r="5" spans="1:43" x14ac:dyDescent="0.2">
      <c r="A5" s="3"/>
      <c r="B5" s="5"/>
      <c r="C5" s="3"/>
      <c r="D5" s="3"/>
      <c r="E5" s="3"/>
      <c r="F5" s="3"/>
      <c r="G5" s="2" t="s">
        <v>47</v>
      </c>
      <c r="H5" s="2">
        <v>0.99760000000000004</v>
      </c>
      <c r="I5" s="2">
        <v>3.1339000000000001</v>
      </c>
      <c r="J5" s="2">
        <v>10.452999999999999</v>
      </c>
      <c r="K5" s="2">
        <v>29.7715</v>
      </c>
      <c r="L5" s="2">
        <v>140.87989999999999</v>
      </c>
      <c r="M5" s="2">
        <v>258.327</v>
      </c>
      <c r="N5" s="2">
        <v>0.99860000000000004</v>
      </c>
      <c r="O5" s="2">
        <v>2.0312000000000001</v>
      </c>
      <c r="P5" s="2">
        <v>6.9355000000000002</v>
      </c>
      <c r="Q5" s="2">
        <v>-33.22</v>
      </c>
      <c r="R5" s="2">
        <v>78.870400000000004</v>
      </c>
      <c r="S5" s="2">
        <v>184.85040000000001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3" x14ac:dyDescent="0.2">
      <c r="A6" s="3"/>
      <c r="B6" s="5"/>
      <c r="C6" s="3" t="s">
        <v>46</v>
      </c>
      <c r="D6" s="3" t="s">
        <v>43</v>
      </c>
      <c r="E6" s="3" t="s">
        <v>46</v>
      </c>
      <c r="F6" s="3" t="s">
        <v>45</v>
      </c>
      <c r="G6" s="2">
        <v>1</v>
      </c>
      <c r="H6" s="2">
        <v>0.99790000000000001</v>
      </c>
      <c r="I6" s="2">
        <v>2.8361999999999998</v>
      </c>
      <c r="J6" s="2">
        <v>8.3666</v>
      </c>
      <c r="K6" s="2">
        <v>29.7715</v>
      </c>
      <c r="L6" s="2">
        <v>123.2461</v>
      </c>
      <c r="M6" s="2">
        <v>258.327</v>
      </c>
      <c r="N6" s="2">
        <v>0.99890000000000001</v>
      </c>
      <c r="O6" s="2">
        <v>1.6513</v>
      </c>
      <c r="P6" s="2">
        <v>6.9355000000000002</v>
      </c>
      <c r="Q6" s="2">
        <v>-33.22</v>
      </c>
      <c r="R6" s="2">
        <v>95.625900000000001</v>
      </c>
      <c r="S6" s="2">
        <v>184.85040000000001</v>
      </c>
      <c r="T6" s="2">
        <v>0.999</v>
      </c>
      <c r="U6" s="2">
        <v>0.26200000000000001</v>
      </c>
      <c r="V6" s="2">
        <v>3.1396999999999999</v>
      </c>
      <c r="W6" s="2">
        <v>-1.4617</v>
      </c>
      <c r="X6" s="2">
        <v>21.694299999999998</v>
      </c>
      <c r="Y6" s="2">
        <v>78.599999999999994</v>
      </c>
      <c r="Z6" s="2">
        <v>0.98319999999999996</v>
      </c>
      <c r="AA6" s="2">
        <v>0.24579999999999999</v>
      </c>
      <c r="AB6" s="2">
        <v>2.7799</v>
      </c>
      <c r="AC6" s="2">
        <v>-2.3166000000000002</v>
      </c>
      <c r="AD6" s="2">
        <v>0.13</v>
      </c>
      <c r="AE6" s="2">
        <v>26.2</v>
      </c>
      <c r="AF6" s="2">
        <v>0.99829999999999997</v>
      </c>
      <c r="AG6" s="2">
        <v>0.23799999999999999</v>
      </c>
      <c r="AH6" s="2">
        <v>19.185099999999998</v>
      </c>
      <c r="AI6" s="2">
        <v>3.7656000000000001</v>
      </c>
      <c r="AJ6" s="2">
        <v>18.673300000000001</v>
      </c>
      <c r="AK6" s="2">
        <v>131.80000000000001</v>
      </c>
      <c r="AL6" s="2">
        <v>0.96360000000000001</v>
      </c>
      <c r="AM6" s="2">
        <v>1.0896999999999999</v>
      </c>
      <c r="AN6" s="2">
        <v>25.0273</v>
      </c>
      <c r="AO6" s="2">
        <v>3.7656000000000001</v>
      </c>
      <c r="AP6" s="2">
        <v>20.6693</v>
      </c>
      <c r="AQ6" s="2">
        <v>131.80000000000001</v>
      </c>
    </row>
    <row r="7" spans="1:43" x14ac:dyDescent="0.2">
      <c r="A7" s="3"/>
      <c r="B7" s="5"/>
      <c r="C7" s="3"/>
      <c r="D7" s="3"/>
      <c r="E7" s="3"/>
      <c r="F7" s="3"/>
      <c r="G7" s="2">
        <v>2</v>
      </c>
      <c r="H7" s="2">
        <v>0.98960000000000004</v>
      </c>
      <c r="I7" s="2">
        <v>3.7887</v>
      </c>
      <c r="J7" s="2">
        <v>10.452999999999999</v>
      </c>
      <c r="K7" s="2">
        <v>77.763800000000003</v>
      </c>
      <c r="L7" s="2">
        <v>198.94929999999999</v>
      </c>
      <c r="M7" s="2">
        <v>251.62700000000001</v>
      </c>
      <c r="N7" s="2">
        <v>0.99490000000000001</v>
      </c>
      <c r="O7" s="2">
        <v>3.0634000000000001</v>
      </c>
      <c r="P7" s="2">
        <v>4.7464000000000004</v>
      </c>
      <c r="Q7" s="2">
        <v>-29.66</v>
      </c>
      <c r="R7" s="2">
        <v>23.6267</v>
      </c>
      <c r="S7" s="2">
        <v>142.59950000000001</v>
      </c>
      <c r="T7" s="2">
        <v>0.94779999999999998</v>
      </c>
      <c r="U7" s="2">
        <v>1.6714</v>
      </c>
      <c r="V7" s="2">
        <v>15.1509</v>
      </c>
      <c r="W7" s="2">
        <v>5.4</v>
      </c>
      <c r="X7" s="2">
        <v>17.619700000000002</v>
      </c>
      <c r="Y7" s="2">
        <v>74.599999999999994</v>
      </c>
      <c r="Z7" s="2">
        <v>-3.0865</v>
      </c>
      <c r="AA7" s="2">
        <v>1.2825</v>
      </c>
      <c r="AB7" s="2">
        <v>3.3477000000000001</v>
      </c>
      <c r="AC7" s="2">
        <v>-2.2477</v>
      </c>
      <c r="AD7" s="2">
        <v>1.77E-2</v>
      </c>
      <c r="AE7" s="2">
        <v>1.9121999999999999</v>
      </c>
      <c r="AF7" s="2">
        <v>0.89790000000000003</v>
      </c>
      <c r="AG7" s="2">
        <v>2.2240000000000002</v>
      </c>
      <c r="AH7" s="2">
        <v>19.0121</v>
      </c>
      <c r="AI7" s="2">
        <v>5.2735000000000003</v>
      </c>
      <c r="AJ7" s="2">
        <v>14.9092</v>
      </c>
      <c r="AK7" s="2">
        <v>109.6</v>
      </c>
      <c r="AL7" s="2">
        <v>0.76129999999999998</v>
      </c>
      <c r="AM7" s="2">
        <v>3.4329000000000001</v>
      </c>
      <c r="AN7" s="2">
        <v>24.415900000000001</v>
      </c>
      <c r="AO7" s="2">
        <v>5.2735000000000003</v>
      </c>
      <c r="AP7" s="2">
        <v>17.067699999999999</v>
      </c>
      <c r="AQ7" s="2">
        <v>109.6</v>
      </c>
    </row>
    <row r="8" spans="1:43" x14ac:dyDescent="0.2">
      <c r="A8" s="3"/>
      <c r="B8" s="6"/>
      <c r="C8" s="3"/>
      <c r="D8" s="3"/>
      <c r="E8" s="3"/>
      <c r="F8" s="3"/>
      <c r="G8" s="2" t="s">
        <v>47</v>
      </c>
      <c r="H8" s="2">
        <v>0.99770000000000003</v>
      </c>
      <c r="I8" s="2">
        <v>3.1339000000000001</v>
      </c>
      <c r="J8" s="2">
        <v>10.452999999999999</v>
      </c>
      <c r="K8" s="2">
        <v>29.7715</v>
      </c>
      <c r="L8" s="2">
        <v>140.87989999999999</v>
      </c>
      <c r="M8" s="2">
        <v>258.327</v>
      </c>
      <c r="N8" s="2">
        <v>0.99870000000000003</v>
      </c>
      <c r="O8" s="2">
        <v>2.0312000000000001</v>
      </c>
      <c r="P8" s="2">
        <v>6.9355000000000002</v>
      </c>
      <c r="Q8" s="2">
        <v>-33.22</v>
      </c>
      <c r="R8" s="2">
        <v>78.870400000000004</v>
      </c>
      <c r="S8" s="2">
        <v>184.85040000000001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3" x14ac:dyDescent="0.2">
      <c r="A9" s="3"/>
      <c r="B9" s="4" t="s">
        <v>68</v>
      </c>
      <c r="C9" s="3" t="s">
        <v>42</v>
      </c>
      <c r="D9" s="3" t="s">
        <v>45</v>
      </c>
      <c r="E9" s="3" t="s">
        <v>44</v>
      </c>
      <c r="F9" s="3" t="s">
        <v>45</v>
      </c>
      <c r="G9" s="2">
        <v>1</v>
      </c>
      <c r="H9" s="2">
        <v>0.95350000000000001</v>
      </c>
      <c r="I9" s="2">
        <v>14.668799999999999</v>
      </c>
      <c r="J9" s="2">
        <v>39.6479</v>
      </c>
      <c r="K9" s="2">
        <v>34.790900000000001</v>
      </c>
      <c r="L9" s="2">
        <v>119.21169999999999</v>
      </c>
      <c r="M9" s="2">
        <v>296.85210000000001</v>
      </c>
      <c r="N9" s="2">
        <v>0.98180000000000001</v>
      </c>
      <c r="O9" s="2">
        <v>7.2507999999999999</v>
      </c>
      <c r="P9" s="2">
        <v>34.200600000000001</v>
      </c>
      <c r="Q9" s="2">
        <v>-66.128500000000003</v>
      </c>
      <c r="R9" s="2">
        <v>104.5908</v>
      </c>
      <c r="S9" s="2">
        <v>181.74199999999999</v>
      </c>
      <c r="T9" s="2">
        <v>0.98880000000000001</v>
      </c>
      <c r="U9" s="2">
        <v>1.0154000000000001</v>
      </c>
      <c r="V9" s="2">
        <v>9.6494</v>
      </c>
      <c r="W9" s="2">
        <v>-1.1378999999999999</v>
      </c>
      <c r="X9" s="2">
        <v>26.8964</v>
      </c>
      <c r="Y9" s="2">
        <v>84.375200000000007</v>
      </c>
      <c r="Z9" s="2">
        <v>0.20130000000000001</v>
      </c>
      <c r="AA9" s="2">
        <v>1.0939000000000001</v>
      </c>
      <c r="AB9" s="2">
        <v>28.487300000000001</v>
      </c>
      <c r="AC9" s="2">
        <v>-2.1089000000000002</v>
      </c>
      <c r="AD9" s="2">
        <v>0.79210000000000003</v>
      </c>
      <c r="AE9" s="2">
        <v>28.571999999999999</v>
      </c>
      <c r="AF9" s="2">
        <v>0.97340000000000004</v>
      </c>
      <c r="AG9" s="2">
        <v>1.6577999999999999</v>
      </c>
      <c r="AH9" s="2">
        <v>17.908100000000001</v>
      </c>
      <c r="AI9" s="2">
        <v>4.0377999999999998</v>
      </c>
      <c r="AJ9" s="2">
        <v>25.1556</v>
      </c>
      <c r="AK9" s="2">
        <v>129.3349</v>
      </c>
      <c r="AL9" s="2">
        <v>0.91759999999999997</v>
      </c>
      <c r="AM9" s="2">
        <v>3.4144999999999999</v>
      </c>
      <c r="AN9" s="2">
        <v>36.889800000000001</v>
      </c>
      <c r="AO9" s="2">
        <v>4.0377999999999998</v>
      </c>
      <c r="AP9" s="2">
        <v>30.518000000000001</v>
      </c>
      <c r="AQ9" s="2">
        <v>138.43379999999999</v>
      </c>
    </row>
    <row r="10" spans="1:43" x14ac:dyDescent="0.2">
      <c r="A10" s="3"/>
      <c r="B10" s="5"/>
      <c r="C10" s="3"/>
      <c r="D10" s="3"/>
      <c r="E10" s="3"/>
      <c r="F10" s="3"/>
      <c r="G10" s="2">
        <v>2</v>
      </c>
      <c r="H10" s="2">
        <v>-0.20200000000000001</v>
      </c>
      <c r="I10" s="2">
        <v>24.517099999999999</v>
      </c>
      <c r="J10" s="2">
        <v>36.316200000000002</v>
      </c>
      <c r="K10" s="2">
        <v>80.348600000000005</v>
      </c>
      <c r="L10" s="2">
        <v>165.3656</v>
      </c>
      <c r="M10" s="2">
        <v>194.9196</v>
      </c>
      <c r="N10" s="2">
        <v>1.1599999999999999E-2</v>
      </c>
      <c r="O10" s="2">
        <v>25.7883</v>
      </c>
      <c r="P10" s="2">
        <v>37.465499999999999</v>
      </c>
      <c r="Q10" s="2">
        <v>17.8004</v>
      </c>
      <c r="R10" s="2">
        <v>48.1173</v>
      </c>
      <c r="S10" s="2">
        <v>137.9786</v>
      </c>
      <c r="T10" s="2">
        <v>0.74129999999999996</v>
      </c>
      <c r="U10" s="2">
        <v>8.4488000000000003</v>
      </c>
      <c r="V10" s="2">
        <v>13.824199999999999</v>
      </c>
      <c r="W10" s="2">
        <v>14.465299999999999</v>
      </c>
      <c r="X10" s="2">
        <v>51.522799999999997</v>
      </c>
      <c r="Y10" s="2">
        <v>81.335599999999999</v>
      </c>
      <c r="Z10" s="2">
        <v>-0.69640000000000002</v>
      </c>
      <c r="AA10" s="2">
        <v>10.513199999999999</v>
      </c>
      <c r="AB10" s="2">
        <v>30.952300000000001</v>
      </c>
      <c r="AC10" s="2">
        <v>-0.63870000000000005</v>
      </c>
      <c r="AD10" s="2">
        <v>3.9689000000000001</v>
      </c>
      <c r="AE10" s="2">
        <v>31.026800000000001</v>
      </c>
      <c r="AF10" s="2">
        <v>0.99709999999999999</v>
      </c>
      <c r="AG10" s="2">
        <v>2.2292000000000001</v>
      </c>
      <c r="AH10" s="2">
        <v>3.2132999999999998</v>
      </c>
      <c r="AI10" s="2">
        <v>7.8844000000000003</v>
      </c>
      <c r="AJ10" s="2">
        <v>62.8947</v>
      </c>
      <c r="AK10" s="2">
        <v>122.66500000000001</v>
      </c>
      <c r="AL10" s="2">
        <v>0.97270000000000001</v>
      </c>
      <c r="AM10" s="2">
        <v>6.2514000000000003</v>
      </c>
      <c r="AN10" s="2">
        <v>16.295999999999999</v>
      </c>
      <c r="AO10" s="2">
        <v>7.8844000000000003</v>
      </c>
      <c r="AP10" s="2">
        <v>59.347799999999999</v>
      </c>
      <c r="AQ10" s="2">
        <v>138.96129999999999</v>
      </c>
    </row>
    <row r="11" spans="1:43" x14ac:dyDescent="0.2">
      <c r="A11" s="3"/>
      <c r="B11" s="6"/>
      <c r="C11" s="3"/>
      <c r="D11" s="3"/>
      <c r="E11" s="3"/>
      <c r="F11" s="3"/>
      <c r="G11" s="2" t="s">
        <v>47</v>
      </c>
      <c r="H11" s="2">
        <v>0.96240000000000003</v>
      </c>
      <c r="I11" s="2">
        <v>15.5718</v>
      </c>
      <c r="J11" s="2">
        <v>39.6479</v>
      </c>
      <c r="K11" s="2">
        <v>34.790900000000001</v>
      </c>
      <c r="L11" s="2">
        <v>167.60730000000001</v>
      </c>
      <c r="M11" s="2">
        <v>300.92309999999998</v>
      </c>
      <c r="N11" s="2">
        <v>0.9829</v>
      </c>
      <c r="O11" s="2">
        <v>8.4644999999999992</v>
      </c>
      <c r="P11" s="2">
        <v>37.465499999999999</v>
      </c>
      <c r="Q11" s="2">
        <v>-72.824600000000004</v>
      </c>
      <c r="R11" s="2">
        <v>57.786999999999999</v>
      </c>
      <c r="S11" s="2">
        <v>181.74199999999999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3" x14ac:dyDescent="0.2">
      <c r="A12" s="3"/>
      <c r="B12" s="4" t="s">
        <v>69</v>
      </c>
      <c r="C12" s="3" t="s">
        <v>42</v>
      </c>
      <c r="D12" s="3" t="s">
        <v>43</v>
      </c>
      <c r="E12" s="3" t="s">
        <v>42</v>
      </c>
      <c r="F12" s="3" t="s">
        <v>45</v>
      </c>
      <c r="G12" s="2">
        <v>1</v>
      </c>
      <c r="H12" s="2">
        <v>0.99880000000000002</v>
      </c>
      <c r="I12" s="2">
        <v>2.0413000000000001</v>
      </c>
      <c r="J12" s="2">
        <v>8.3318999999999992</v>
      </c>
      <c r="K12" s="2">
        <v>48.327300000000001</v>
      </c>
      <c r="L12" s="2">
        <v>139.13910000000001</v>
      </c>
      <c r="M12" s="2">
        <v>298.19080000000002</v>
      </c>
      <c r="N12" s="2">
        <v>0.99860000000000004</v>
      </c>
      <c r="O12" s="2">
        <v>2.1076999999999999</v>
      </c>
      <c r="P12" s="2">
        <v>9.0388999999999999</v>
      </c>
      <c r="Q12" s="2">
        <v>-67.035600000000002</v>
      </c>
      <c r="R12" s="2">
        <v>87.729200000000006</v>
      </c>
      <c r="S12" s="2">
        <v>179.9196</v>
      </c>
      <c r="T12" s="2">
        <v>0.99660000000000004</v>
      </c>
      <c r="U12" s="2">
        <v>0.53010000000000002</v>
      </c>
      <c r="V12" s="2">
        <v>4.6837</v>
      </c>
      <c r="W12" s="2">
        <v>-1.4</v>
      </c>
      <c r="X12" s="2">
        <v>25.909199999999998</v>
      </c>
      <c r="Y12" s="2">
        <v>84.375200000000007</v>
      </c>
      <c r="Z12" s="2">
        <v>0.98119999999999996</v>
      </c>
      <c r="AA12" s="2">
        <v>0.25790000000000002</v>
      </c>
      <c r="AB12" s="2">
        <v>4.1178999999999997</v>
      </c>
      <c r="AC12" s="2">
        <v>-1.9</v>
      </c>
      <c r="AD12" s="2">
        <v>1.4548000000000001</v>
      </c>
      <c r="AE12" s="2">
        <v>35</v>
      </c>
      <c r="AF12" s="2">
        <v>0.99780000000000002</v>
      </c>
      <c r="AG12" s="2">
        <v>0.63990000000000002</v>
      </c>
      <c r="AH12" s="2">
        <v>11.955</v>
      </c>
      <c r="AI12" s="2">
        <v>4.0556999999999999</v>
      </c>
      <c r="AJ12" s="2">
        <v>25.651800000000001</v>
      </c>
      <c r="AK12" s="2">
        <v>129.3349</v>
      </c>
      <c r="AL12" s="2">
        <v>0.97929999999999995</v>
      </c>
      <c r="AM12" s="2">
        <v>1.6435</v>
      </c>
      <c r="AN12" s="2">
        <v>25.415900000000001</v>
      </c>
      <c r="AO12" s="2">
        <v>4.0561999999999996</v>
      </c>
      <c r="AP12" s="2">
        <v>31.258500000000002</v>
      </c>
      <c r="AQ12" s="2">
        <v>140.1</v>
      </c>
    </row>
    <row r="13" spans="1:43" x14ac:dyDescent="0.2">
      <c r="A13" s="3"/>
      <c r="B13" s="5"/>
      <c r="C13" s="3"/>
      <c r="D13" s="3"/>
      <c r="E13" s="3"/>
      <c r="F13" s="3"/>
      <c r="G13" s="2">
        <v>2</v>
      </c>
      <c r="H13" s="2">
        <v>0.99629999999999996</v>
      </c>
      <c r="I13" s="2">
        <v>2.7639999999999998</v>
      </c>
      <c r="J13" s="2">
        <v>7.5609000000000002</v>
      </c>
      <c r="K13" s="2">
        <v>68.0642</v>
      </c>
      <c r="L13" s="2">
        <v>118.2342</v>
      </c>
      <c r="M13" s="2">
        <v>300.58789999999999</v>
      </c>
      <c r="N13" s="2">
        <v>0.99609999999999999</v>
      </c>
      <c r="O13" s="2">
        <v>3.0781000000000001</v>
      </c>
      <c r="P13" s="2">
        <v>5.9987000000000004</v>
      </c>
      <c r="Q13" s="2">
        <v>-63.435899999999997</v>
      </c>
      <c r="R13" s="2">
        <v>111.9449</v>
      </c>
      <c r="S13" s="2">
        <v>162.05000000000001</v>
      </c>
      <c r="T13" s="2">
        <v>0.98629999999999995</v>
      </c>
      <c r="U13" s="2">
        <v>1.0919000000000001</v>
      </c>
      <c r="V13" s="2">
        <v>7.0751999999999997</v>
      </c>
      <c r="W13" s="2">
        <v>5.2</v>
      </c>
      <c r="X13" s="2">
        <v>24.857600000000001</v>
      </c>
      <c r="Y13" s="2">
        <v>55.386600000000001</v>
      </c>
      <c r="Z13" s="2">
        <v>0.64790000000000003</v>
      </c>
      <c r="AA13" s="2">
        <v>0.49390000000000001</v>
      </c>
      <c r="AB13" s="2">
        <v>2.0615999999999999</v>
      </c>
      <c r="AC13" s="2">
        <v>-0.9</v>
      </c>
      <c r="AD13" s="2">
        <v>0.86019999999999996</v>
      </c>
      <c r="AE13" s="2">
        <v>5.8</v>
      </c>
      <c r="AF13" s="2">
        <v>0.9637</v>
      </c>
      <c r="AG13" s="2">
        <v>0.94899999999999995</v>
      </c>
      <c r="AH13" s="2">
        <v>5.0307000000000004</v>
      </c>
      <c r="AI13" s="2">
        <v>6.9512</v>
      </c>
      <c r="AJ13" s="2">
        <v>20.0275</v>
      </c>
      <c r="AK13" s="2">
        <v>48.932099999999998</v>
      </c>
      <c r="AL13" s="2">
        <v>0.94589999999999996</v>
      </c>
      <c r="AM13" s="2">
        <v>1.8516999999999999</v>
      </c>
      <c r="AN13" s="2">
        <v>7.0256999999999996</v>
      </c>
      <c r="AO13" s="2">
        <v>6.9516</v>
      </c>
      <c r="AP13" s="2">
        <v>27.221800000000002</v>
      </c>
      <c r="AQ13" s="2">
        <v>51.9602</v>
      </c>
    </row>
    <row r="14" spans="1:43" x14ac:dyDescent="0.2">
      <c r="A14" s="3"/>
      <c r="B14" s="6"/>
      <c r="C14" s="3"/>
      <c r="D14" s="3"/>
      <c r="E14" s="3"/>
      <c r="F14" s="3"/>
      <c r="G14" s="2" t="s">
        <v>47</v>
      </c>
      <c r="H14" s="2">
        <v>0.99870000000000003</v>
      </c>
      <c r="I14" s="2">
        <v>2.3487</v>
      </c>
      <c r="J14" s="2">
        <v>9.9947999999999997</v>
      </c>
      <c r="K14" s="2">
        <v>48.327300000000001</v>
      </c>
      <c r="L14" s="2">
        <v>174.5299</v>
      </c>
      <c r="M14" s="2">
        <v>300.92309999999998</v>
      </c>
      <c r="N14" s="2">
        <v>0.99860000000000004</v>
      </c>
      <c r="O14" s="2">
        <v>2.3780000000000001</v>
      </c>
      <c r="P14" s="2">
        <v>9.0388999999999999</v>
      </c>
      <c r="Q14" s="2">
        <v>-68.380799999999994</v>
      </c>
      <c r="R14" s="2">
        <v>54.231999999999999</v>
      </c>
      <c r="S14" s="2">
        <v>179.9196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3" x14ac:dyDescent="0.2">
      <c r="A15" s="3"/>
      <c r="B15" s="4" t="s">
        <v>66</v>
      </c>
      <c r="C15" s="3" t="s">
        <v>42</v>
      </c>
      <c r="D15" s="3" t="s">
        <v>43</v>
      </c>
      <c r="E15" s="3" t="s">
        <v>44</v>
      </c>
      <c r="F15" s="3" t="s">
        <v>45</v>
      </c>
      <c r="G15" s="2">
        <v>1</v>
      </c>
      <c r="H15" s="2">
        <v>0.94699999999999995</v>
      </c>
      <c r="I15" s="2">
        <v>13.3713</v>
      </c>
      <c r="J15" s="2">
        <v>39.320300000000003</v>
      </c>
      <c r="K15" s="2">
        <v>34.790900000000001</v>
      </c>
      <c r="L15" s="2">
        <v>107.73350000000001</v>
      </c>
      <c r="M15" s="2">
        <v>291.42700000000002</v>
      </c>
      <c r="N15" s="2">
        <v>0.97650000000000003</v>
      </c>
      <c r="O15" s="2">
        <v>6.7259000000000002</v>
      </c>
      <c r="P15" s="2">
        <v>37.3977</v>
      </c>
      <c r="Q15" s="2">
        <v>-57.89</v>
      </c>
      <c r="R15" s="2">
        <v>115.3775</v>
      </c>
      <c r="S15" s="2">
        <v>181.74199999999999</v>
      </c>
      <c r="T15" s="2">
        <v>0.97529999999999994</v>
      </c>
      <c r="U15" s="2">
        <v>1.4087000000000001</v>
      </c>
      <c r="V15" s="2">
        <v>14.2608</v>
      </c>
      <c r="W15" s="2">
        <v>-1.4</v>
      </c>
      <c r="X15" s="2">
        <v>28.921099999999999</v>
      </c>
      <c r="Y15" s="2">
        <v>83.3</v>
      </c>
      <c r="Z15" s="2">
        <v>0.13719999999999999</v>
      </c>
      <c r="AA15" s="2">
        <v>1.4798</v>
      </c>
      <c r="AB15" s="2">
        <v>32.525500000000001</v>
      </c>
      <c r="AC15" s="2">
        <v>-1.8966000000000001</v>
      </c>
      <c r="AD15" s="2">
        <v>0.97319999999999995</v>
      </c>
      <c r="AE15" s="2">
        <v>32.6</v>
      </c>
      <c r="AF15" s="2">
        <v>0.97599999999999998</v>
      </c>
      <c r="AG15" s="2">
        <v>1.5134000000000001</v>
      </c>
      <c r="AH15" s="2">
        <v>16.456399999999999</v>
      </c>
      <c r="AI15" s="2">
        <v>4.0377999999999998</v>
      </c>
      <c r="AJ15" s="2">
        <v>26.799399999999999</v>
      </c>
      <c r="AK15" s="2">
        <v>127.6</v>
      </c>
      <c r="AL15" s="2">
        <v>0.89990000000000003</v>
      </c>
      <c r="AM15" s="2">
        <v>4.0820999999999996</v>
      </c>
      <c r="AN15" s="2">
        <v>38.556100000000001</v>
      </c>
      <c r="AO15" s="2">
        <v>4.0377999999999998</v>
      </c>
      <c r="AP15" s="2">
        <v>31.756399999999999</v>
      </c>
      <c r="AQ15" s="2">
        <v>140.1</v>
      </c>
    </row>
    <row r="16" spans="1:43" x14ac:dyDescent="0.2">
      <c r="A16" s="3"/>
      <c r="B16" s="5"/>
      <c r="C16" s="3"/>
      <c r="D16" s="3"/>
      <c r="E16" s="3"/>
      <c r="F16" s="3"/>
      <c r="G16" s="2">
        <v>2</v>
      </c>
      <c r="H16" s="2">
        <v>0.36409999999999998</v>
      </c>
      <c r="I16" s="2">
        <v>22.767199999999999</v>
      </c>
      <c r="J16" s="2">
        <v>35.9236</v>
      </c>
      <c r="K16" s="2">
        <v>52.530500000000004</v>
      </c>
      <c r="L16" s="2">
        <v>159.8048</v>
      </c>
      <c r="M16" s="2">
        <v>194.52699999999999</v>
      </c>
      <c r="N16" s="2">
        <v>0.53859999999999997</v>
      </c>
      <c r="O16" s="2">
        <v>22.4297</v>
      </c>
      <c r="P16" s="2">
        <v>37.565899999999999</v>
      </c>
      <c r="Q16" s="2">
        <v>17.7</v>
      </c>
      <c r="R16" s="2">
        <v>54.839700000000001</v>
      </c>
      <c r="S16" s="2">
        <v>165.95429999999999</v>
      </c>
      <c r="T16" s="2">
        <v>0.6179</v>
      </c>
      <c r="U16" s="2">
        <v>9.8808000000000007</v>
      </c>
      <c r="V16" s="2">
        <v>18.435600000000001</v>
      </c>
      <c r="W16" s="2">
        <v>5.2</v>
      </c>
      <c r="X16" s="2">
        <v>47.984699999999997</v>
      </c>
      <c r="Y16" s="2">
        <v>81.335599999999999</v>
      </c>
      <c r="Z16" s="2">
        <v>-0.61980000000000002</v>
      </c>
      <c r="AA16" s="2">
        <v>11.1859</v>
      </c>
      <c r="AB16" s="2">
        <v>34.9255</v>
      </c>
      <c r="AC16" s="2">
        <v>-0.9</v>
      </c>
      <c r="AD16" s="2">
        <v>4.2541000000000002</v>
      </c>
      <c r="AE16" s="2">
        <v>35</v>
      </c>
      <c r="AF16" s="2">
        <v>0.99519999999999997</v>
      </c>
      <c r="AG16" s="2">
        <v>2.6629999999999998</v>
      </c>
      <c r="AH16" s="2">
        <v>4.665</v>
      </c>
      <c r="AI16" s="2">
        <v>7.8844000000000003</v>
      </c>
      <c r="AJ16" s="2">
        <v>58.689399999999999</v>
      </c>
      <c r="AK16" s="2">
        <v>122.66500000000001</v>
      </c>
      <c r="AL16" s="2">
        <v>0.96970000000000001</v>
      </c>
      <c r="AM16" s="2">
        <v>6.5396999999999998</v>
      </c>
      <c r="AN16" s="2">
        <v>17.434799999999999</v>
      </c>
      <c r="AO16" s="2">
        <v>7.8844000000000003</v>
      </c>
      <c r="AP16" s="2">
        <v>56.616100000000003</v>
      </c>
      <c r="AQ16" s="2">
        <v>140.1</v>
      </c>
    </row>
    <row r="17" spans="1:43" x14ac:dyDescent="0.2">
      <c r="A17" s="3"/>
      <c r="B17" s="6"/>
      <c r="C17" s="3"/>
      <c r="D17" s="3"/>
      <c r="E17" s="3"/>
      <c r="F17" s="3"/>
      <c r="G17" s="2" t="s">
        <v>47</v>
      </c>
      <c r="H17" s="2">
        <v>0.9677</v>
      </c>
      <c r="I17" s="2">
        <v>13.851900000000001</v>
      </c>
      <c r="J17" s="2">
        <v>39.320300000000003</v>
      </c>
      <c r="K17" s="2">
        <v>34.790900000000001</v>
      </c>
      <c r="L17" s="2">
        <v>166.744</v>
      </c>
      <c r="M17" s="2">
        <v>297.12700000000001</v>
      </c>
      <c r="N17" s="2">
        <v>0.98340000000000005</v>
      </c>
      <c r="O17" s="2">
        <v>7.7480000000000002</v>
      </c>
      <c r="P17" s="2">
        <v>37.565899999999999</v>
      </c>
      <c r="Q17" s="2">
        <v>-72.824600000000004</v>
      </c>
      <c r="R17" s="2">
        <v>58.397599999999997</v>
      </c>
      <c r="S17" s="2">
        <v>181.74199999999999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">
      <c r="A18" s="3"/>
      <c r="B18" s="4" t="s">
        <v>67</v>
      </c>
      <c r="C18" s="3" t="s">
        <v>42</v>
      </c>
      <c r="D18" s="3" t="s">
        <v>43</v>
      </c>
      <c r="E18" s="3" t="s">
        <v>44</v>
      </c>
      <c r="F18" s="3" t="s">
        <v>43</v>
      </c>
      <c r="G18" s="2">
        <v>1</v>
      </c>
      <c r="H18" s="2">
        <v>0.95809999999999995</v>
      </c>
      <c r="I18" s="2">
        <v>11.820600000000001</v>
      </c>
      <c r="J18" s="2">
        <v>37.4</v>
      </c>
      <c r="K18" s="2">
        <v>36.427300000000002</v>
      </c>
      <c r="L18" s="2">
        <v>109.5309</v>
      </c>
      <c r="M18" s="2">
        <v>291.42700000000002</v>
      </c>
      <c r="N18" s="2">
        <v>0.9778</v>
      </c>
      <c r="O18" s="2">
        <v>6.6592000000000002</v>
      </c>
      <c r="P18" s="2">
        <v>36.76</v>
      </c>
      <c r="Q18" s="2">
        <v>-56.57</v>
      </c>
      <c r="R18" s="2">
        <v>114.62260000000001</v>
      </c>
      <c r="S18" s="2">
        <v>181.45</v>
      </c>
      <c r="T18" s="2">
        <v>0.97519999999999996</v>
      </c>
      <c r="U18" s="2">
        <v>1.3022</v>
      </c>
      <c r="V18" s="2">
        <v>14.6</v>
      </c>
      <c r="W18" s="2">
        <v>-1.4</v>
      </c>
      <c r="X18" s="2">
        <v>28.407900000000001</v>
      </c>
      <c r="Y18" s="2">
        <v>83.3</v>
      </c>
      <c r="Z18" s="2">
        <v>0.14660000000000001</v>
      </c>
      <c r="AA18" s="2">
        <v>1.5615000000000001</v>
      </c>
      <c r="AB18" s="2">
        <v>32.6</v>
      </c>
      <c r="AC18" s="2">
        <v>-2.2999999999999998</v>
      </c>
      <c r="AD18" s="2">
        <v>0.91700000000000004</v>
      </c>
      <c r="AE18" s="2">
        <v>32.6</v>
      </c>
      <c r="AF18" s="2">
        <v>0.97489999999999999</v>
      </c>
      <c r="AG18" s="2">
        <v>1.4654</v>
      </c>
      <c r="AH18" s="2">
        <v>16.5</v>
      </c>
      <c r="AI18" s="2">
        <v>4.0999999999999996</v>
      </c>
      <c r="AJ18" s="2">
        <v>26.147200000000002</v>
      </c>
      <c r="AK18" s="2">
        <v>127.6</v>
      </c>
      <c r="AL18" s="2">
        <v>0.90820000000000001</v>
      </c>
      <c r="AM18" s="2">
        <v>3.3498999999999999</v>
      </c>
      <c r="AN18" s="2">
        <v>38.6</v>
      </c>
      <c r="AO18" s="2">
        <v>4.0999999999999996</v>
      </c>
      <c r="AP18" s="2">
        <v>30.659400000000002</v>
      </c>
      <c r="AQ18" s="2">
        <v>140.1</v>
      </c>
    </row>
    <row r="19" spans="1:43" x14ac:dyDescent="0.2">
      <c r="A19" s="3"/>
      <c r="B19" s="5"/>
      <c r="C19" s="3"/>
      <c r="D19" s="3"/>
      <c r="E19" s="3"/>
      <c r="F19" s="3"/>
      <c r="G19" s="2">
        <v>2</v>
      </c>
      <c r="H19" s="2">
        <v>0.42270000000000002</v>
      </c>
      <c r="I19" s="2">
        <v>20.344899999999999</v>
      </c>
      <c r="J19" s="2">
        <v>34</v>
      </c>
      <c r="K19" s="2">
        <v>55.7273</v>
      </c>
      <c r="L19" s="2">
        <v>162.3648</v>
      </c>
      <c r="M19" s="2">
        <v>194.52699999999999</v>
      </c>
      <c r="N19" s="2">
        <v>0.5272</v>
      </c>
      <c r="O19" s="2">
        <v>21.391200000000001</v>
      </c>
      <c r="P19" s="2">
        <v>37</v>
      </c>
      <c r="Q19" s="2">
        <v>17.7</v>
      </c>
      <c r="R19" s="2">
        <v>52.811700000000002</v>
      </c>
      <c r="S19" s="2">
        <v>164.64</v>
      </c>
      <c r="T19" s="2">
        <v>0.66249999999999998</v>
      </c>
      <c r="U19" s="2">
        <v>9.6567000000000007</v>
      </c>
      <c r="V19" s="2">
        <v>18.8</v>
      </c>
      <c r="W19" s="2">
        <v>5.2</v>
      </c>
      <c r="X19" s="2">
        <v>48.964300000000001</v>
      </c>
      <c r="Y19" s="2">
        <v>88.6</v>
      </c>
      <c r="Z19" s="2">
        <v>-0.61409999999999998</v>
      </c>
      <c r="AA19" s="2">
        <v>10.790699999999999</v>
      </c>
      <c r="AB19" s="2">
        <v>35</v>
      </c>
      <c r="AC19" s="2">
        <v>-0.9</v>
      </c>
      <c r="AD19" s="2">
        <v>4.0778999999999996</v>
      </c>
      <c r="AE19" s="2">
        <v>35</v>
      </c>
      <c r="AF19" s="2">
        <v>0.98499999999999999</v>
      </c>
      <c r="AG19" s="2">
        <v>3.4887000000000001</v>
      </c>
      <c r="AH19" s="2">
        <v>24.5</v>
      </c>
      <c r="AI19" s="2">
        <v>7.9</v>
      </c>
      <c r="AJ19" s="2">
        <v>60.170299999999997</v>
      </c>
      <c r="AK19" s="2">
        <v>152.1</v>
      </c>
      <c r="AL19" s="2">
        <v>0.96560000000000001</v>
      </c>
      <c r="AM19" s="2">
        <v>6.6657999999999999</v>
      </c>
      <c r="AN19" s="2">
        <v>24</v>
      </c>
      <c r="AO19" s="2">
        <v>7.9</v>
      </c>
      <c r="AP19" s="2">
        <v>57.427399999999999</v>
      </c>
      <c r="AQ19" s="2">
        <v>152.1</v>
      </c>
    </row>
    <row r="20" spans="1:43" x14ac:dyDescent="0.2">
      <c r="A20" s="3"/>
      <c r="B20" s="6"/>
      <c r="C20" s="3"/>
      <c r="D20" s="3"/>
      <c r="E20" s="3"/>
      <c r="F20" s="3"/>
      <c r="G20" s="2" t="s">
        <v>47</v>
      </c>
      <c r="H20" s="2">
        <v>0.97199999999999998</v>
      </c>
      <c r="I20" s="2">
        <v>12.7921</v>
      </c>
      <c r="J20" s="2">
        <v>37.4</v>
      </c>
      <c r="K20" s="2">
        <v>36.427300000000002</v>
      </c>
      <c r="L20" s="2">
        <v>167.2801</v>
      </c>
      <c r="M20" s="2">
        <v>297.12700000000001</v>
      </c>
      <c r="N20" s="2">
        <v>0.98319999999999996</v>
      </c>
      <c r="O20" s="2">
        <v>7.9359000000000002</v>
      </c>
      <c r="P20" s="2">
        <v>37</v>
      </c>
      <c r="Q20" s="2">
        <v>-65.209900000000005</v>
      </c>
      <c r="R20" s="2">
        <v>58.6248</v>
      </c>
      <c r="S20" s="2">
        <v>181.45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">
      <c r="A21" s="3"/>
      <c r="B21" s="4" t="s">
        <v>66</v>
      </c>
      <c r="C21" s="3" t="s">
        <v>44</v>
      </c>
      <c r="D21" s="3" t="s">
        <v>45</v>
      </c>
      <c r="E21" s="3" t="s">
        <v>42</v>
      </c>
      <c r="F21" s="3" t="s">
        <v>43</v>
      </c>
      <c r="G21" s="2">
        <v>1</v>
      </c>
      <c r="H21" s="2">
        <v>0.94279999999999997</v>
      </c>
      <c r="I21" s="2">
        <v>13.3713</v>
      </c>
      <c r="J21" s="2">
        <v>39.320300000000003</v>
      </c>
      <c r="K21" s="2">
        <v>34.790900000000001</v>
      </c>
      <c r="L21" s="2">
        <v>107.73350000000001</v>
      </c>
      <c r="M21" s="2">
        <v>291.42700000000002</v>
      </c>
      <c r="N21" s="2">
        <v>0.97409999999999997</v>
      </c>
      <c r="O21" s="2">
        <v>6.7259000000000002</v>
      </c>
      <c r="P21" s="2">
        <v>37.3977</v>
      </c>
      <c r="Q21" s="2">
        <v>-57.89</v>
      </c>
      <c r="R21" s="2">
        <v>115.3775</v>
      </c>
      <c r="S21" s="2">
        <v>181.74199999999999</v>
      </c>
      <c r="T21" s="2">
        <v>0.97589999999999999</v>
      </c>
      <c r="U21" s="2">
        <v>1.4087000000000001</v>
      </c>
      <c r="V21" s="2">
        <v>14.2608</v>
      </c>
      <c r="W21" s="2">
        <v>-1.4</v>
      </c>
      <c r="X21" s="2">
        <v>28.921099999999999</v>
      </c>
      <c r="Y21" s="2">
        <v>83.3</v>
      </c>
      <c r="Z21" s="2">
        <v>-2.6269</v>
      </c>
      <c r="AA21" s="2">
        <v>1.4798</v>
      </c>
      <c r="AB21" s="2">
        <v>32.525500000000001</v>
      </c>
      <c r="AC21" s="2">
        <v>-1.8966000000000001</v>
      </c>
      <c r="AD21" s="2">
        <v>0.97319999999999995</v>
      </c>
      <c r="AE21" s="2">
        <v>32.6</v>
      </c>
      <c r="AF21" s="2">
        <v>0.97009999999999996</v>
      </c>
      <c r="AG21" s="2">
        <v>1.5134000000000001</v>
      </c>
      <c r="AH21" s="2">
        <v>16.456399999999999</v>
      </c>
      <c r="AI21" s="2">
        <v>4.0377999999999998</v>
      </c>
      <c r="AJ21" s="2">
        <v>26.799399999999999</v>
      </c>
      <c r="AK21" s="2">
        <v>127.6</v>
      </c>
      <c r="AL21" s="2">
        <v>0.85640000000000005</v>
      </c>
      <c r="AM21" s="2">
        <v>4.0820999999999996</v>
      </c>
      <c r="AN21" s="2">
        <v>38.556100000000001</v>
      </c>
      <c r="AO21" s="2">
        <v>4.0377999999999998</v>
      </c>
      <c r="AP21" s="2">
        <v>31.756399999999999</v>
      </c>
      <c r="AQ21" s="2">
        <v>140.1</v>
      </c>
    </row>
    <row r="22" spans="1:43" x14ac:dyDescent="0.2">
      <c r="A22" s="3"/>
      <c r="B22" s="5"/>
      <c r="C22" s="3"/>
      <c r="D22" s="3"/>
      <c r="E22" s="3"/>
      <c r="F22" s="3"/>
      <c r="G22" s="2">
        <v>2</v>
      </c>
      <c r="H22" s="2">
        <v>0.13469999999999999</v>
      </c>
      <c r="I22" s="2">
        <v>22.767199999999999</v>
      </c>
      <c r="J22" s="2">
        <v>35.9236</v>
      </c>
      <c r="K22" s="2">
        <v>52.530500000000004</v>
      </c>
      <c r="L22" s="2">
        <v>159.8048</v>
      </c>
      <c r="M22" s="2">
        <v>194.52699999999999</v>
      </c>
      <c r="N22" s="2">
        <v>0.21460000000000001</v>
      </c>
      <c r="O22" s="2">
        <v>22.4297</v>
      </c>
      <c r="P22" s="2">
        <v>37.565899999999999</v>
      </c>
      <c r="Q22" s="2">
        <v>17.7</v>
      </c>
      <c r="R22" s="2">
        <v>54.839700000000001</v>
      </c>
      <c r="S22" s="2">
        <v>165.95429999999999</v>
      </c>
      <c r="T22" s="2">
        <v>0.6986</v>
      </c>
      <c r="U22" s="2">
        <v>9.8808000000000007</v>
      </c>
      <c r="V22" s="2">
        <v>18.435600000000001</v>
      </c>
      <c r="W22" s="2">
        <v>5.2</v>
      </c>
      <c r="X22" s="2">
        <v>47.984699999999997</v>
      </c>
      <c r="Y22" s="2">
        <v>81.335599999999999</v>
      </c>
      <c r="Z22" s="2">
        <v>-4758.3649999999998</v>
      </c>
      <c r="AA22" s="2">
        <v>11.1859</v>
      </c>
      <c r="AB22" s="2">
        <v>34.9255</v>
      </c>
      <c r="AC22" s="2">
        <v>-0.9</v>
      </c>
      <c r="AD22" s="2">
        <v>4.2541000000000002</v>
      </c>
      <c r="AE22" s="2">
        <v>35</v>
      </c>
      <c r="AF22" s="2">
        <v>0.99570000000000003</v>
      </c>
      <c r="AG22" s="2">
        <v>2.6629999999999998</v>
      </c>
      <c r="AH22" s="2">
        <v>4.665</v>
      </c>
      <c r="AI22" s="2">
        <v>7.8844000000000003</v>
      </c>
      <c r="AJ22" s="2">
        <v>58.689399999999999</v>
      </c>
      <c r="AK22" s="2">
        <v>122.66500000000001</v>
      </c>
      <c r="AL22" s="2">
        <v>0.96430000000000005</v>
      </c>
      <c r="AM22" s="2">
        <v>6.5396999999999998</v>
      </c>
      <c r="AN22" s="2">
        <v>17.434799999999999</v>
      </c>
      <c r="AO22" s="2">
        <v>7.8844000000000003</v>
      </c>
      <c r="AP22" s="2">
        <v>56.616100000000003</v>
      </c>
      <c r="AQ22" s="2">
        <v>140.1</v>
      </c>
    </row>
    <row r="23" spans="1:43" x14ac:dyDescent="0.2">
      <c r="A23" s="3"/>
      <c r="B23" s="6"/>
      <c r="C23" s="3"/>
      <c r="D23" s="3"/>
      <c r="E23" s="3"/>
      <c r="F23" s="3"/>
      <c r="G23" s="2" t="s">
        <v>47</v>
      </c>
      <c r="H23" s="2">
        <v>0.96689999999999998</v>
      </c>
      <c r="I23" s="2">
        <v>13.851900000000001</v>
      </c>
      <c r="J23" s="2">
        <v>39.320300000000003</v>
      </c>
      <c r="K23" s="2">
        <v>34.790900000000001</v>
      </c>
      <c r="L23" s="2">
        <v>166.744</v>
      </c>
      <c r="M23" s="2">
        <v>297.12700000000001</v>
      </c>
      <c r="N23" s="2">
        <v>0.98280000000000001</v>
      </c>
      <c r="O23" s="2">
        <v>7.7480000000000002</v>
      </c>
      <c r="P23" s="2">
        <v>37.565899999999999</v>
      </c>
      <c r="Q23" s="2">
        <v>-72.824600000000004</v>
      </c>
      <c r="R23" s="2">
        <v>58.397599999999997</v>
      </c>
      <c r="S23" s="2">
        <v>181.74199999999999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">
      <c r="A24" s="3"/>
      <c r="B24" s="4" t="s">
        <v>71</v>
      </c>
      <c r="C24" s="3" t="s">
        <v>44</v>
      </c>
      <c r="D24" s="3" t="s">
        <v>43</v>
      </c>
      <c r="E24" s="3" t="s">
        <v>44</v>
      </c>
      <c r="F24" s="3" t="s">
        <v>45</v>
      </c>
      <c r="G24" s="2">
        <v>1</v>
      </c>
      <c r="H24" s="2">
        <v>0.99960000000000004</v>
      </c>
      <c r="I24" s="2">
        <v>1.4642999999999999</v>
      </c>
      <c r="J24" s="2">
        <v>8.4603000000000002</v>
      </c>
      <c r="K24" s="2">
        <v>34.790900000000001</v>
      </c>
      <c r="L24" s="2">
        <v>145.571</v>
      </c>
      <c r="M24" s="2">
        <v>288.3811</v>
      </c>
      <c r="N24" s="2">
        <v>0.99980000000000002</v>
      </c>
      <c r="O24" s="2">
        <v>0.78149999999999997</v>
      </c>
      <c r="P24" s="2">
        <v>11.026199999999999</v>
      </c>
      <c r="Q24" s="2">
        <v>-67.951899999999995</v>
      </c>
      <c r="R24" s="2">
        <v>76.398099999999999</v>
      </c>
      <c r="S24" s="2">
        <v>181.74199999999999</v>
      </c>
      <c r="T24" s="2">
        <v>0.99960000000000004</v>
      </c>
      <c r="U24" s="2">
        <v>0.22450000000000001</v>
      </c>
      <c r="V24" s="2">
        <v>2.5779000000000001</v>
      </c>
      <c r="W24" s="2">
        <v>-1.4</v>
      </c>
      <c r="X24" s="2">
        <v>23.598700000000001</v>
      </c>
      <c r="Y24" s="2">
        <v>83.1</v>
      </c>
      <c r="Z24" s="2">
        <v>0.94779999999999998</v>
      </c>
      <c r="AA24" s="2">
        <v>0.1241</v>
      </c>
      <c r="AB24" s="2">
        <v>11.4526</v>
      </c>
      <c r="AC24" s="2">
        <v>-2.6</v>
      </c>
      <c r="AD24" s="2">
        <v>0.23180000000000001</v>
      </c>
      <c r="AE24" s="2">
        <v>28.571999999999999</v>
      </c>
      <c r="AF24" s="2">
        <v>0.99919999999999998</v>
      </c>
      <c r="AG24" s="2">
        <v>0.2268</v>
      </c>
      <c r="AH24" s="2">
        <v>11.6091</v>
      </c>
      <c r="AI24" s="2">
        <v>4.0377999999999998</v>
      </c>
      <c r="AJ24" s="2">
        <v>22.270900000000001</v>
      </c>
      <c r="AK24" s="2">
        <v>125.8794</v>
      </c>
      <c r="AL24" s="2">
        <v>0.96530000000000005</v>
      </c>
      <c r="AM24" s="2">
        <v>1.19</v>
      </c>
      <c r="AN24" s="2">
        <v>36.088099999999997</v>
      </c>
      <c r="AO24" s="2">
        <v>4.0377999999999998</v>
      </c>
      <c r="AP24" s="2">
        <v>25.9451</v>
      </c>
      <c r="AQ24" s="2">
        <v>125.8794</v>
      </c>
    </row>
    <row r="25" spans="1:43" x14ac:dyDescent="0.2">
      <c r="A25" s="3"/>
      <c r="B25" s="5"/>
      <c r="C25" s="3"/>
      <c r="D25" s="3"/>
      <c r="E25" s="3"/>
      <c r="F25" s="3"/>
      <c r="G25" s="2">
        <v>2</v>
      </c>
      <c r="H25" s="2">
        <v>0.99109999999999998</v>
      </c>
      <c r="I25" s="2">
        <v>4.8948999999999998</v>
      </c>
      <c r="J25" s="2">
        <v>9.0580999999999996</v>
      </c>
      <c r="K25" s="2">
        <v>52.530500000000004</v>
      </c>
      <c r="L25" s="2">
        <v>144.0318</v>
      </c>
      <c r="M25" s="2">
        <v>250.42699999999999</v>
      </c>
      <c r="N25" s="2">
        <v>0.99980000000000002</v>
      </c>
      <c r="O25" s="2">
        <v>0.68159999999999998</v>
      </c>
      <c r="P25" s="2">
        <v>2.5884</v>
      </c>
      <c r="Q25" s="2">
        <v>-23.7256</v>
      </c>
      <c r="R25" s="2">
        <v>72.389799999999994</v>
      </c>
      <c r="S25" s="2">
        <v>165.95429999999999</v>
      </c>
      <c r="T25" s="2">
        <v>0.98280000000000001</v>
      </c>
      <c r="U25" s="2">
        <v>2.3064</v>
      </c>
      <c r="V25" s="2">
        <v>6.3307000000000002</v>
      </c>
      <c r="W25" s="2">
        <v>10.266</v>
      </c>
      <c r="X25" s="2">
        <v>31.7742</v>
      </c>
      <c r="Y25" s="2">
        <v>88.6</v>
      </c>
      <c r="Z25" s="2">
        <v>-1.1837</v>
      </c>
      <c r="AA25" s="2">
        <v>0.55279999999999996</v>
      </c>
      <c r="AB25" s="2">
        <v>2.3755000000000002</v>
      </c>
      <c r="AC25" s="2">
        <v>-1.4</v>
      </c>
      <c r="AD25" s="2">
        <v>0.1153</v>
      </c>
      <c r="AE25" s="2">
        <v>1.5</v>
      </c>
      <c r="AF25" s="2">
        <v>0.95040000000000002</v>
      </c>
      <c r="AG25" s="2">
        <v>5.2290999999999999</v>
      </c>
      <c r="AH25" s="2">
        <v>26.220600000000001</v>
      </c>
      <c r="AI25" s="2">
        <v>5.5</v>
      </c>
      <c r="AJ25" s="2">
        <v>33.368400000000001</v>
      </c>
      <c r="AK25" s="2">
        <v>152.1</v>
      </c>
      <c r="AL25" s="2">
        <v>0.92600000000000005</v>
      </c>
      <c r="AM25" s="2">
        <v>6.2157999999999998</v>
      </c>
      <c r="AN25" s="2">
        <v>26.220600000000001</v>
      </c>
      <c r="AO25" s="2">
        <v>5.5</v>
      </c>
      <c r="AP25" s="2">
        <v>35.209400000000002</v>
      </c>
      <c r="AQ25" s="2">
        <v>152.1</v>
      </c>
    </row>
    <row r="26" spans="1:43" x14ac:dyDescent="0.2">
      <c r="A26" s="3"/>
      <c r="B26" s="6"/>
      <c r="C26" s="3"/>
      <c r="D26" s="3"/>
      <c r="E26" s="3"/>
      <c r="F26" s="3"/>
      <c r="G26" s="2" t="s">
        <v>47</v>
      </c>
      <c r="H26" s="2">
        <v>0.99950000000000006</v>
      </c>
      <c r="I26" s="2">
        <v>1.5126999999999999</v>
      </c>
      <c r="J26" s="2">
        <v>9.0580999999999996</v>
      </c>
      <c r="K26" s="2">
        <v>34.790900000000001</v>
      </c>
      <c r="L26" s="2">
        <v>160.35749999999999</v>
      </c>
      <c r="M26" s="2">
        <v>292.32639999999998</v>
      </c>
      <c r="N26" s="2">
        <v>0.99970000000000003</v>
      </c>
      <c r="O26" s="2">
        <v>0.86199999999999999</v>
      </c>
      <c r="P26" s="2">
        <v>11.026199999999999</v>
      </c>
      <c r="Q26" s="2">
        <v>-72.824600000000004</v>
      </c>
      <c r="R26" s="2">
        <v>62.1798</v>
      </c>
      <c r="S26" s="2">
        <v>181.74199999999999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">
      <c r="A27" s="3" t="s">
        <v>73</v>
      </c>
      <c r="B27" s="4" t="s">
        <v>70</v>
      </c>
      <c r="C27" s="3" t="s">
        <v>46</v>
      </c>
      <c r="D27" s="3" t="s">
        <v>45</v>
      </c>
      <c r="E27" s="3" t="s">
        <v>46</v>
      </c>
      <c r="F27" s="3" t="s">
        <v>43</v>
      </c>
      <c r="G27" s="2">
        <v>1</v>
      </c>
      <c r="H27" s="2">
        <v>0.99519999999999997</v>
      </c>
      <c r="I27" s="2">
        <v>9.7932000000000006</v>
      </c>
      <c r="J27" s="2">
        <v>30.188500000000001</v>
      </c>
      <c r="K27" s="2">
        <v>210.2491</v>
      </c>
      <c r="L27" s="2">
        <v>719.50260000000003</v>
      </c>
      <c r="M27" s="2">
        <v>1061.2</v>
      </c>
      <c r="N27" s="2">
        <v>0.99560000000000004</v>
      </c>
      <c r="O27" s="2">
        <v>9.7977000000000007</v>
      </c>
      <c r="P27" s="2">
        <v>35.208500000000001</v>
      </c>
      <c r="Q27" s="2">
        <v>56.71</v>
      </c>
      <c r="R27" s="2">
        <v>342.7697</v>
      </c>
      <c r="S27" s="2">
        <v>869.58</v>
      </c>
      <c r="T27" s="2">
        <v>0.99709999999999999</v>
      </c>
      <c r="U27" s="2">
        <v>0.37219999999999998</v>
      </c>
      <c r="V27" s="2">
        <v>12.213900000000001</v>
      </c>
      <c r="W27" s="2">
        <v>4.5999999999999996</v>
      </c>
      <c r="X27" s="2">
        <v>20.976199999999999</v>
      </c>
      <c r="Y27" s="2">
        <v>218</v>
      </c>
      <c r="Z27" s="2">
        <v>0.93789999999999996</v>
      </c>
      <c r="AA27" s="2">
        <v>0.27300000000000002</v>
      </c>
      <c r="AB27" s="2">
        <v>2.4169</v>
      </c>
      <c r="AC27" s="2">
        <v>-10.4169</v>
      </c>
      <c r="AD27" s="2">
        <v>6.7299999999999999E-2</v>
      </c>
      <c r="AE27" s="2">
        <v>11.1715</v>
      </c>
      <c r="AF27" s="2">
        <v>0.99850000000000005</v>
      </c>
      <c r="AG27" s="2">
        <v>0.28760000000000002</v>
      </c>
      <c r="AH27" s="2">
        <v>14.1752</v>
      </c>
      <c r="AI27" s="2">
        <v>4.0663</v>
      </c>
      <c r="AJ27" s="2">
        <v>21.135200000000001</v>
      </c>
      <c r="AK27" s="2">
        <v>196.9</v>
      </c>
      <c r="AL27" s="2">
        <v>0.94369999999999998</v>
      </c>
      <c r="AM27" s="2">
        <v>1.6196999999999999</v>
      </c>
      <c r="AN27" s="2">
        <v>86.002799999999993</v>
      </c>
      <c r="AO27" s="2">
        <v>3.3576999999999999</v>
      </c>
      <c r="AP27" s="2">
        <v>20.876899999999999</v>
      </c>
      <c r="AQ27" s="2">
        <v>237.4</v>
      </c>
    </row>
    <row r="28" spans="1:43" x14ac:dyDescent="0.2">
      <c r="A28" s="3"/>
      <c r="B28" s="5"/>
      <c r="C28" s="3"/>
      <c r="D28" s="3"/>
      <c r="E28" s="3"/>
      <c r="F28" s="3"/>
      <c r="G28" s="2">
        <v>2</v>
      </c>
      <c r="H28" s="2">
        <v>0.99390000000000001</v>
      </c>
      <c r="I28" s="2">
        <v>9.8388000000000009</v>
      </c>
      <c r="J28" s="2">
        <v>16.589099999999998</v>
      </c>
      <c r="K28" s="2">
        <v>417.60739999999998</v>
      </c>
      <c r="L28" s="2">
        <v>660.02390000000003</v>
      </c>
      <c r="M28" s="2">
        <v>869</v>
      </c>
      <c r="N28" s="2">
        <v>0.99619999999999997</v>
      </c>
      <c r="O28" s="2">
        <v>9.7464999999999993</v>
      </c>
      <c r="P28" s="2">
        <v>14.0085</v>
      </c>
      <c r="Q28" s="2">
        <v>149.1</v>
      </c>
      <c r="R28" s="2">
        <v>377.35469999999998</v>
      </c>
      <c r="S28" s="2">
        <v>660.79269999999997</v>
      </c>
      <c r="T28" s="2">
        <v>0.95499999999999996</v>
      </c>
      <c r="U28" s="2">
        <v>1.5307999999999999</v>
      </c>
      <c r="V28" s="2">
        <v>15.231400000000001</v>
      </c>
      <c r="W28" s="2">
        <v>4.8</v>
      </c>
      <c r="X28" s="2">
        <v>20.778500000000001</v>
      </c>
      <c r="Y28" s="2">
        <v>92.3</v>
      </c>
      <c r="Z28" s="2">
        <v>-0.65329999999999999</v>
      </c>
      <c r="AA28" s="2">
        <v>1.5450999999999999</v>
      </c>
      <c r="AB28" s="2">
        <v>7.6767000000000003</v>
      </c>
      <c r="AC28" s="2">
        <v>-7.6517999999999997</v>
      </c>
      <c r="AD28" s="2">
        <v>8.5000000000000006E-2</v>
      </c>
      <c r="AE28" s="2">
        <v>6.3342999999999998</v>
      </c>
      <c r="AF28" s="2">
        <v>0.97260000000000002</v>
      </c>
      <c r="AG28" s="2">
        <v>1.6119000000000001</v>
      </c>
      <c r="AH28" s="2">
        <v>31.0413</v>
      </c>
      <c r="AI28" s="2">
        <v>5</v>
      </c>
      <c r="AJ28" s="2">
        <v>21.502500000000001</v>
      </c>
      <c r="AK28" s="2">
        <v>137.25960000000001</v>
      </c>
      <c r="AL28" s="2">
        <v>0.7389</v>
      </c>
      <c r="AM28" s="2">
        <v>3.2073999999999998</v>
      </c>
      <c r="AN28" s="2">
        <v>70.675399999999996</v>
      </c>
      <c r="AO28" s="2">
        <v>3.8250999999999999</v>
      </c>
      <c r="AP28" s="2">
        <v>21.095800000000001</v>
      </c>
      <c r="AQ28" s="2">
        <v>137.25960000000001</v>
      </c>
    </row>
    <row r="29" spans="1:43" x14ac:dyDescent="0.2">
      <c r="A29" s="3"/>
      <c r="B29" s="5"/>
      <c r="C29" s="3"/>
      <c r="D29" s="3"/>
      <c r="E29" s="3"/>
      <c r="F29" s="3"/>
      <c r="G29" s="2" t="s">
        <v>47</v>
      </c>
      <c r="H29" s="2">
        <v>0.99039999999999995</v>
      </c>
      <c r="I29" s="2">
        <v>13.053100000000001</v>
      </c>
      <c r="J29" s="2">
        <v>31.154599999999999</v>
      </c>
      <c r="K29" s="2">
        <v>210.2491</v>
      </c>
      <c r="L29" s="2">
        <v>806.41510000000005</v>
      </c>
      <c r="M29" s="2">
        <v>1152.5</v>
      </c>
      <c r="N29" s="2">
        <v>0.98960000000000004</v>
      </c>
      <c r="O29" s="2">
        <v>12.664999999999999</v>
      </c>
      <c r="P29" s="2">
        <v>35.208500000000001</v>
      </c>
      <c r="Q29" s="2">
        <v>-32.47</v>
      </c>
      <c r="R29" s="2">
        <v>268.62470000000002</v>
      </c>
      <c r="S29" s="2">
        <v>869.58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">
      <c r="A30" s="3"/>
      <c r="B30" s="5"/>
      <c r="C30" s="3" t="s">
        <v>46</v>
      </c>
      <c r="D30" s="3" t="s">
        <v>43</v>
      </c>
      <c r="E30" s="3" t="s">
        <v>46</v>
      </c>
      <c r="F30" s="3" t="s">
        <v>45</v>
      </c>
      <c r="G30" s="2">
        <v>1</v>
      </c>
      <c r="H30" s="2">
        <v>0.99539999999999995</v>
      </c>
      <c r="I30" s="2">
        <v>9.7932000000000006</v>
      </c>
      <c r="J30" s="2">
        <v>30.188500000000001</v>
      </c>
      <c r="K30" s="2">
        <v>210.2491</v>
      </c>
      <c r="L30" s="2">
        <v>719.50260000000003</v>
      </c>
      <c r="M30" s="2">
        <v>1061.2</v>
      </c>
      <c r="N30" s="2">
        <v>0.99570000000000003</v>
      </c>
      <c r="O30" s="2">
        <v>9.7977000000000007</v>
      </c>
      <c r="P30" s="2">
        <v>35.208500000000001</v>
      </c>
      <c r="Q30" s="2">
        <v>56.71</v>
      </c>
      <c r="R30" s="2">
        <v>342.7697</v>
      </c>
      <c r="S30" s="2">
        <v>869.58</v>
      </c>
      <c r="T30" s="2">
        <v>0.99719999999999998</v>
      </c>
      <c r="U30" s="2">
        <v>0.37219999999999998</v>
      </c>
      <c r="V30" s="2">
        <v>12.213900000000001</v>
      </c>
      <c r="W30" s="2">
        <v>4.5999999999999996</v>
      </c>
      <c r="X30" s="2">
        <v>20.976199999999999</v>
      </c>
      <c r="Y30" s="2">
        <v>218</v>
      </c>
      <c r="Z30" s="2">
        <v>0.89400000000000002</v>
      </c>
      <c r="AA30" s="2">
        <v>0.27300000000000002</v>
      </c>
      <c r="AB30" s="2">
        <v>2.4169</v>
      </c>
      <c r="AC30" s="2">
        <v>-10.4169</v>
      </c>
      <c r="AD30" s="2">
        <v>6.7299999999999999E-2</v>
      </c>
      <c r="AE30" s="2">
        <v>11.1715</v>
      </c>
      <c r="AF30" s="2">
        <v>0.99850000000000005</v>
      </c>
      <c r="AG30" s="2">
        <v>0.28760000000000002</v>
      </c>
      <c r="AH30" s="2">
        <v>14.1752</v>
      </c>
      <c r="AI30" s="2">
        <v>4.0663</v>
      </c>
      <c r="AJ30" s="2">
        <v>21.135200000000001</v>
      </c>
      <c r="AK30" s="2">
        <v>196.9</v>
      </c>
      <c r="AL30" s="2">
        <v>0.94769999999999999</v>
      </c>
      <c r="AM30" s="2">
        <v>1.6196999999999999</v>
      </c>
      <c r="AN30" s="2">
        <v>86.002799999999993</v>
      </c>
      <c r="AO30" s="2">
        <v>3.3576999999999999</v>
      </c>
      <c r="AP30" s="2">
        <v>20.876899999999999</v>
      </c>
      <c r="AQ30" s="2">
        <v>237.4</v>
      </c>
    </row>
    <row r="31" spans="1:43" x14ac:dyDescent="0.2">
      <c r="A31" s="3"/>
      <c r="B31" s="5"/>
      <c r="C31" s="3"/>
      <c r="D31" s="3"/>
      <c r="E31" s="3"/>
      <c r="F31" s="3"/>
      <c r="G31" s="2">
        <v>2</v>
      </c>
      <c r="H31" s="2">
        <v>0.99380000000000002</v>
      </c>
      <c r="I31" s="2">
        <v>9.8388000000000009</v>
      </c>
      <c r="J31" s="2">
        <v>16.589099999999998</v>
      </c>
      <c r="K31" s="2">
        <v>417.60739999999998</v>
      </c>
      <c r="L31" s="2">
        <v>660.02390000000003</v>
      </c>
      <c r="M31" s="2">
        <v>869</v>
      </c>
      <c r="N31" s="2">
        <v>0.996</v>
      </c>
      <c r="O31" s="2">
        <v>9.7464999999999993</v>
      </c>
      <c r="P31" s="2">
        <v>14.0085</v>
      </c>
      <c r="Q31" s="2">
        <v>149.1</v>
      </c>
      <c r="R31" s="2">
        <v>377.35469999999998</v>
      </c>
      <c r="S31" s="2">
        <v>660.79269999999997</v>
      </c>
      <c r="T31" s="2">
        <v>0.95860000000000001</v>
      </c>
      <c r="U31" s="2">
        <v>1.5307999999999999</v>
      </c>
      <c r="V31" s="2">
        <v>15.231400000000001</v>
      </c>
      <c r="W31" s="2">
        <v>4.8</v>
      </c>
      <c r="X31" s="2">
        <v>20.778500000000001</v>
      </c>
      <c r="Y31" s="2">
        <v>92.3</v>
      </c>
      <c r="Z31" s="2">
        <v>-1.5264</v>
      </c>
      <c r="AA31" s="2">
        <v>1.5450999999999999</v>
      </c>
      <c r="AB31" s="2">
        <v>7.6767000000000003</v>
      </c>
      <c r="AC31" s="2">
        <v>-7.6517999999999997</v>
      </c>
      <c r="AD31" s="2">
        <v>8.5000000000000006E-2</v>
      </c>
      <c r="AE31" s="2">
        <v>6.3342999999999998</v>
      </c>
      <c r="AF31" s="2">
        <v>0.97309999999999997</v>
      </c>
      <c r="AG31" s="2">
        <v>1.6119000000000001</v>
      </c>
      <c r="AH31" s="2">
        <v>31.0413</v>
      </c>
      <c r="AI31" s="2">
        <v>5</v>
      </c>
      <c r="AJ31" s="2">
        <v>21.502500000000001</v>
      </c>
      <c r="AK31" s="2">
        <v>137.25960000000001</v>
      </c>
      <c r="AL31" s="2">
        <v>0.81859999999999999</v>
      </c>
      <c r="AM31" s="2">
        <v>3.2073999999999998</v>
      </c>
      <c r="AN31" s="2">
        <v>70.675399999999996</v>
      </c>
      <c r="AO31" s="2">
        <v>3.8250999999999999</v>
      </c>
      <c r="AP31" s="2">
        <v>21.095800000000001</v>
      </c>
      <c r="AQ31" s="2">
        <v>137.25960000000001</v>
      </c>
    </row>
    <row r="32" spans="1:43" x14ac:dyDescent="0.2">
      <c r="A32" s="3"/>
      <c r="B32" s="6"/>
      <c r="C32" s="3"/>
      <c r="D32" s="3"/>
      <c r="E32" s="3"/>
      <c r="F32" s="3"/>
      <c r="G32" s="2" t="s">
        <v>47</v>
      </c>
      <c r="H32" s="2">
        <v>0.9909</v>
      </c>
      <c r="I32" s="2">
        <v>13.053100000000001</v>
      </c>
      <c r="J32" s="2">
        <v>31.154599999999999</v>
      </c>
      <c r="K32" s="2">
        <v>210.2491</v>
      </c>
      <c r="L32" s="2">
        <v>806.41510000000005</v>
      </c>
      <c r="M32" s="2">
        <v>1152.5</v>
      </c>
      <c r="N32" s="2">
        <v>0.99009999999999998</v>
      </c>
      <c r="O32" s="2">
        <v>12.664999999999999</v>
      </c>
      <c r="P32" s="2">
        <v>35.208500000000001</v>
      </c>
      <c r="Q32" s="2">
        <v>-32.47</v>
      </c>
      <c r="R32" s="2">
        <v>268.62470000000002</v>
      </c>
      <c r="S32" s="2">
        <v>869.58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">
      <c r="A33" s="3"/>
      <c r="B33" s="4" t="s">
        <v>68</v>
      </c>
      <c r="C33" s="3" t="s">
        <v>42</v>
      </c>
      <c r="D33" s="3" t="s">
        <v>45</v>
      </c>
      <c r="E33" s="3" t="s">
        <v>44</v>
      </c>
      <c r="F33" s="3" t="s">
        <v>45</v>
      </c>
      <c r="G33" s="2">
        <v>1</v>
      </c>
      <c r="H33" s="2">
        <v>0.79320000000000002</v>
      </c>
      <c r="I33" s="2">
        <v>78.632099999999994</v>
      </c>
      <c r="J33" s="2">
        <v>193.50800000000001</v>
      </c>
      <c r="K33" s="2">
        <v>231.42590000000001</v>
      </c>
      <c r="L33" s="2">
        <v>895.1277</v>
      </c>
      <c r="M33" s="2">
        <v>1149.9159999999999</v>
      </c>
      <c r="N33" s="2">
        <v>0.85719999999999996</v>
      </c>
      <c r="O33" s="2">
        <v>64.715299999999999</v>
      </c>
      <c r="P33" s="2">
        <v>179.33529999999999</v>
      </c>
      <c r="Q33" s="2">
        <v>-76.731099999999998</v>
      </c>
      <c r="R33" s="2">
        <v>192.2542</v>
      </c>
      <c r="S33" s="2">
        <v>860.17989999999998</v>
      </c>
      <c r="T33" s="2">
        <v>0.96130000000000004</v>
      </c>
      <c r="U33" s="2">
        <v>2.1669</v>
      </c>
      <c r="V33" s="2">
        <v>46.906700000000001</v>
      </c>
      <c r="W33" s="2">
        <v>4.8136999999999999</v>
      </c>
      <c r="X33" s="2">
        <v>27.3415</v>
      </c>
      <c r="Y33" s="2">
        <v>218</v>
      </c>
      <c r="Z33" s="2">
        <v>-7.1499999999999994E-2</v>
      </c>
      <c r="AA33" s="2">
        <v>1.1162000000000001</v>
      </c>
      <c r="AB33" s="2">
        <v>61.197400000000002</v>
      </c>
      <c r="AC33" s="2">
        <v>-8.3818000000000001</v>
      </c>
      <c r="AD33" s="2">
        <v>0.84260000000000002</v>
      </c>
      <c r="AE33" s="2">
        <v>89.332099999999997</v>
      </c>
      <c r="AF33" s="2">
        <v>0.93720000000000003</v>
      </c>
      <c r="AG33" s="2">
        <v>4.6589</v>
      </c>
      <c r="AH33" s="2">
        <v>107.908</v>
      </c>
      <c r="AI33" s="2">
        <v>5.1516999999999999</v>
      </c>
      <c r="AJ33" s="2">
        <v>32.042400000000001</v>
      </c>
      <c r="AK33" s="2">
        <v>301.43959999999998</v>
      </c>
      <c r="AL33" s="2">
        <v>0.92649999999999999</v>
      </c>
      <c r="AM33" s="2">
        <v>5.2531999999999996</v>
      </c>
      <c r="AN33" s="2">
        <v>134.703</v>
      </c>
      <c r="AO33" s="2">
        <v>3.5139999999999998</v>
      </c>
      <c r="AP33" s="2">
        <v>34.174199999999999</v>
      </c>
      <c r="AQ33" s="2">
        <v>391.41449999999998</v>
      </c>
    </row>
    <row r="34" spans="1:43" x14ac:dyDescent="0.2">
      <c r="A34" s="3"/>
      <c r="B34" s="5"/>
      <c r="C34" s="3"/>
      <c r="D34" s="3"/>
      <c r="E34" s="3"/>
      <c r="F34" s="3"/>
      <c r="G34" s="2">
        <v>2</v>
      </c>
      <c r="H34" s="2">
        <v>0.61339999999999995</v>
      </c>
      <c r="I34" s="2">
        <v>92.427800000000005</v>
      </c>
      <c r="J34" s="2">
        <v>172.22569999999999</v>
      </c>
      <c r="K34" s="2">
        <v>303.6748</v>
      </c>
      <c r="L34" s="2">
        <v>765.90009999999995</v>
      </c>
      <c r="M34" s="2">
        <v>1111.0168000000001</v>
      </c>
      <c r="N34" s="2">
        <v>0.72540000000000004</v>
      </c>
      <c r="O34" s="2">
        <v>79.113399999999999</v>
      </c>
      <c r="P34" s="2">
        <v>155.07650000000001</v>
      </c>
      <c r="Q34" s="2">
        <v>-9.9170999999999996</v>
      </c>
      <c r="R34" s="2">
        <v>329.6968</v>
      </c>
      <c r="S34" s="2">
        <v>785.34069999999997</v>
      </c>
      <c r="T34" s="2">
        <v>0.91269999999999996</v>
      </c>
      <c r="U34" s="2">
        <v>5.9161999999999999</v>
      </c>
      <c r="V34" s="2">
        <v>44.619900000000001</v>
      </c>
      <c r="W34" s="2">
        <v>7.6883999999999997</v>
      </c>
      <c r="X34" s="2">
        <v>35.825600000000001</v>
      </c>
      <c r="Y34" s="2">
        <v>172.0822</v>
      </c>
      <c r="Z34" s="2">
        <v>-0.23749999999999999</v>
      </c>
      <c r="AA34" s="2">
        <v>1.827</v>
      </c>
      <c r="AB34" s="2">
        <v>43.358800000000002</v>
      </c>
      <c r="AC34" s="2">
        <v>-6.3258999999999999</v>
      </c>
      <c r="AD34" s="2">
        <v>0.65310000000000001</v>
      </c>
      <c r="AE34" s="2">
        <v>44.903399999999998</v>
      </c>
      <c r="AF34" s="2">
        <v>0.88529999999999998</v>
      </c>
      <c r="AG34" s="2">
        <v>10.1648</v>
      </c>
      <c r="AH34" s="2">
        <v>91.915400000000005</v>
      </c>
      <c r="AI34" s="2">
        <v>6.8419999999999996</v>
      </c>
      <c r="AJ34" s="2">
        <v>47.5336</v>
      </c>
      <c r="AK34" s="2">
        <v>274.7878</v>
      </c>
      <c r="AL34" s="2">
        <v>0.68410000000000004</v>
      </c>
      <c r="AM34" s="2">
        <v>15.8378</v>
      </c>
      <c r="AN34" s="2">
        <v>220.8058</v>
      </c>
      <c r="AO34" s="2">
        <v>4.7903000000000002</v>
      </c>
      <c r="AP34" s="2">
        <v>49.516199999999998</v>
      </c>
      <c r="AQ34" s="2">
        <v>355.06319999999999</v>
      </c>
    </row>
    <row r="35" spans="1:43" x14ac:dyDescent="0.2">
      <c r="A35" s="3"/>
      <c r="B35" s="6"/>
      <c r="C35" s="3"/>
      <c r="D35" s="3"/>
      <c r="E35" s="3"/>
      <c r="F35" s="3"/>
      <c r="G35" s="2" t="s">
        <v>47</v>
      </c>
      <c r="H35" s="2">
        <v>0.66410000000000002</v>
      </c>
      <c r="I35" s="2">
        <v>82.129499999999993</v>
      </c>
      <c r="J35" s="2">
        <v>193.50800000000001</v>
      </c>
      <c r="K35" s="2">
        <v>231.42590000000001</v>
      </c>
      <c r="L35" s="2">
        <v>974.94569999999999</v>
      </c>
      <c r="M35" s="2">
        <v>1336.9088999999999</v>
      </c>
      <c r="N35" s="2">
        <v>0.71489999999999998</v>
      </c>
      <c r="O35" s="2">
        <v>69.633300000000006</v>
      </c>
      <c r="P35" s="2">
        <v>181.8331</v>
      </c>
      <c r="Q35" s="2">
        <v>-146.44739999999999</v>
      </c>
      <c r="R35" s="2">
        <v>120.4688</v>
      </c>
      <c r="S35" s="2">
        <v>860.17989999999998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">
      <c r="A36" s="3"/>
      <c r="B36" s="4" t="s">
        <v>69</v>
      </c>
      <c r="C36" s="3" t="s">
        <v>42</v>
      </c>
      <c r="D36" s="3" t="s">
        <v>43</v>
      </c>
      <c r="E36" s="3" t="s">
        <v>42</v>
      </c>
      <c r="F36" s="3" t="s">
        <v>45</v>
      </c>
      <c r="G36" s="2">
        <v>1</v>
      </c>
      <c r="H36" s="2">
        <v>0.99639999999999995</v>
      </c>
      <c r="I36" s="2">
        <v>7.7990000000000004</v>
      </c>
      <c r="J36" s="2">
        <v>57.296999999999997</v>
      </c>
      <c r="K36" s="2">
        <v>240.1</v>
      </c>
      <c r="L36" s="2">
        <v>995.07759999999996</v>
      </c>
      <c r="M36" s="2">
        <v>1336.9088999999999</v>
      </c>
      <c r="N36" s="2">
        <v>0.99780000000000002</v>
      </c>
      <c r="O36" s="2">
        <v>5.3079999999999998</v>
      </c>
      <c r="P36" s="2">
        <v>63.9876</v>
      </c>
      <c r="Q36" s="2">
        <v>-147.22999999999999</v>
      </c>
      <c r="R36" s="2">
        <v>104.0874</v>
      </c>
      <c r="S36" s="2">
        <v>859.2</v>
      </c>
      <c r="T36" s="2">
        <v>0.99280000000000002</v>
      </c>
      <c r="U36" s="2">
        <v>0.54449999999999998</v>
      </c>
      <c r="V36" s="2">
        <v>112.0102</v>
      </c>
      <c r="W36" s="2">
        <v>4.9847000000000001</v>
      </c>
      <c r="X36" s="2">
        <v>25.942799999999998</v>
      </c>
      <c r="Y36" s="2">
        <v>218</v>
      </c>
      <c r="Z36" s="2">
        <v>0.69920000000000004</v>
      </c>
      <c r="AA36" s="2">
        <v>0.28810000000000002</v>
      </c>
      <c r="AB36" s="2">
        <v>112.83450000000001</v>
      </c>
      <c r="AC36" s="2">
        <v>-22</v>
      </c>
      <c r="AD36" s="2">
        <v>0.99450000000000005</v>
      </c>
      <c r="AE36" s="2">
        <v>90.834500000000006</v>
      </c>
      <c r="AF36" s="2">
        <v>0.999</v>
      </c>
      <c r="AG36" s="2">
        <v>0.58889999999999998</v>
      </c>
      <c r="AH36" s="2">
        <v>15.2639</v>
      </c>
      <c r="AI36" s="2">
        <v>5.0449000000000002</v>
      </c>
      <c r="AJ36" s="2">
        <v>30.664000000000001</v>
      </c>
      <c r="AK36" s="2">
        <v>308.70299999999997</v>
      </c>
      <c r="AL36" s="2">
        <v>0.98250000000000004</v>
      </c>
      <c r="AM36" s="2">
        <v>2.0838999999999999</v>
      </c>
      <c r="AN36" s="2">
        <v>79.551599999999993</v>
      </c>
      <c r="AO36" s="2">
        <v>3.5139999999999998</v>
      </c>
      <c r="AP36" s="2">
        <v>33.145699999999998</v>
      </c>
      <c r="AQ36" s="2">
        <v>549.59349999999995</v>
      </c>
    </row>
    <row r="37" spans="1:43" x14ac:dyDescent="0.2">
      <c r="A37" s="3"/>
      <c r="B37" s="5"/>
      <c r="C37" s="3"/>
      <c r="D37" s="3"/>
      <c r="E37" s="3"/>
      <c r="F37" s="3"/>
      <c r="G37" s="2">
        <v>2</v>
      </c>
      <c r="H37" s="2">
        <v>0.99450000000000005</v>
      </c>
      <c r="I37" s="2">
        <v>9.5776000000000003</v>
      </c>
      <c r="J37" s="2">
        <v>24.055900000000001</v>
      </c>
      <c r="K37" s="2">
        <v>272</v>
      </c>
      <c r="L37" s="2">
        <v>973.39949999999999</v>
      </c>
      <c r="M37" s="2">
        <v>1326.0477000000001</v>
      </c>
      <c r="N37" s="2">
        <v>0.99790000000000001</v>
      </c>
      <c r="O37" s="2">
        <v>5.8640999999999996</v>
      </c>
      <c r="P37" s="2">
        <v>19.2713</v>
      </c>
      <c r="Q37" s="2">
        <v>-135.41829999999999</v>
      </c>
      <c r="R37" s="2">
        <v>134.91640000000001</v>
      </c>
      <c r="S37" s="2">
        <v>842.50710000000004</v>
      </c>
      <c r="T37" s="2">
        <v>0.94220000000000004</v>
      </c>
      <c r="U37" s="2">
        <v>3.5840999999999998</v>
      </c>
      <c r="V37" s="2">
        <v>54.583100000000002</v>
      </c>
      <c r="W37" s="2">
        <v>6</v>
      </c>
      <c r="X37" s="2">
        <v>32.981999999999999</v>
      </c>
      <c r="Y37" s="2">
        <v>218</v>
      </c>
      <c r="Z37" s="2">
        <v>7.3300000000000004E-2</v>
      </c>
      <c r="AA37" s="2">
        <v>1.4637</v>
      </c>
      <c r="AB37" s="2">
        <v>40.903399999999998</v>
      </c>
      <c r="AC37" s="2">
        <v>-7</v>
      </c>
      <c r="AD37" s="2">
        <v>1.3102</v>
      </c>
      <c r="AE37" s="2">
        <v>44.903399999999998</v>
      </c>
      <c r="AF37" s="2">
        <v>0.94579999999999997</v>
      </c>
      <c r="AG37" s="2">
        <v>4.6628999999999996</v>
      </c>
      <c r="AH37" s="2">
        <v>48.0396</v>
      </c>
      <c r="AI37" s="2">
        <v>5.0902000000000003</v>
      </c>
      <c r="AJ37" s="2">
        <v>42.691800000000001</v>
      </c>
      <c r="AK37" s="2">
        <v>301.43959999999998</v>
      </c>
      <c r="AL37" s="2">
        <v>0.77170000000000005</v>
      </c>
      <c r="AM37" s="2">
        <v>9.7154000000000007</v>
      </c>
      <c r="AN37" s="2">
        <v>136.11689999999999</v>
      </c>
      <c r="AO37" s="2">
        <v>4.7903000000000002</v>
      </c>
      <c r="AP37" s="2">
        <v>45.857100000000003</v>
      </c>
      <c r="AQ37" s="2">
        <v>302.7133</v>
      </c>
    </row>
    <row r="38" spans="1:43" x14ac:dyDescent="0.2">
      <c r="A38" s="3"/>
      <c r="B38" s="6"/>
      <c r="C38" s="3"/>
      <c r="D38" s="3"/>
      <c r="E38" s="3"/>
      <c r="F38" s="3"/>
      <c r="G38" s="2" t="s">
        <v>47</v>
      </c>
      <c r="H38" s="2">
        <v>0.99590000000000001</v>
      </c>
      <c r="I38" s="2">
        <v>7.7851999999999997</v>
      </c>
      <c r="J38" s="2">
        <v>57.296999999999997</v>
      </c>
      <c r="K38" s="2">
        <v>240.1</v>
      </c>
      <c r="L38" s="2">
        <v>1012.3087</v>
      </c>
      <c r="M38" s="2">
        <v>1336.9088999999999</v>
      </c>
      <c r="N38" s="2">
        <v>0.99739999999999995</v>
      </c>
      <c r="O38" s="2">
        <v>5.2302</v>
      </c>
      <c r="P38" s="2">
        <v>63.9876</v>
      </c>
      <c r="Q38" s="2">
        <v>-147.22999999999999</v>
      </c>
      <c r="R38" s="2">
        <v>86.662300000000002</v>
      </c>
      <c r="S38" s="2">
        <v>859.2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">
      <c r="A39" s="3"/>
      <c r="B39" s="4" t="s">
        <v>66</v>
      </c>
      <c r="C39" s="3" t="s">
        <v>42</v>
      </c>
      <c r="D39" s="3" t="s">
        <v>43</v>
      </c>
      <c r="E39" s="3" t="s">
        <v>44</v>
      </c>
      <c r="F39" s="3" t="s">
        <v>45</v>
      </c>
      <c r="G39" s="2">
        <v>1</v>
      </c>
      <c r="H39" s="2">
        <v>0.81779999999999997</v>
      </c>
      <c r="I39" s="2">
        <v>71.6815</v>
      </c>
      <c r="J39" s="2">
        <v>170.55330000000001</v>
      </c>
      <c r="K39" s="2">
        <v>231.42590000000001</v>
      </c>
      <c r="L39" s="2">
        <v>899.68560000000002</v>
      </c>
      <c r="M39" s="2">
        <v>1145.5999999999999</v>
      </c>
      <c r="N39" s="2">
        <v>0.84960000000000002</v>
      </c>
      <c r="O39" s="2">
        <v>64.552700000000002</v>
      </c>
      <c r="P39" s="2">
        <v>167.4366</v>
      </c>
      <c r="Q39" s="2">
        <v>-61.1</v>
      </c>
      <c r="R39" s="2">
        <v>185.25040000000001</v>
      </c>
      <c r="S39" s="2">
        <v>860.17989999999998</v>
      </c>
      <c r="T39" s="2">
        <v>0.95709999999999995</v>
      </c>
      <c r="U39" s="2">
        <v>2.1903000000000001</v>
      </c>
      <c r="V39" s="2">
        <v>77.923699999999997</v>
      </c>
      <c r="W39" s="2">
        <v>4.8136999999999999</v>
      </c>
      <c r="X39" s="2">
        <v>27.511399999999998</v>
      </c>
      <c r="Y39" s="2">
        <v>218</v>
      </c>
      <c r="Z39" s="2">
        <v>-0.66349999999999998</v>
      </c>
      <c r="AA39" s="2">
        <v>1.3273999999999999</v>
      </c>
      <c r="AB39" s="2">
        <v>90.126199999999997</v>
      </c>
      <c r="AC39" s="2">
        <v>-10.5</v>
      </c>
      <c r="AD39" s="2">
        <v>0.78900000000000003</v>
      </c>
      <c r="AE39" s="2">
        <v>89.332099999999997</v>
      </c>
      <c r="AF39" s="2">
        <v>0.94420000000000004</v>
      </c>
      <c r="AG39" s="2">
        <v>4.2704000000000004</v>
      </c>
      <c r="AH39" s="2">
        <v>102.93259999999999</v>
      </c>
      <c r="AI39" s="2">
        <v>5.1516999999999999</v>
      </c>
      <c r="AJ39" s="2">
        <v>32.298900000000003</v>
      </c>
      <c r="AK39" s="2">
        <v>326.10000000000002</v>
      </c>
      <c r="AL39" s="2">
        <v>0.9365</v>
      </c>
      <c r="AM39" s="2">
        <v>4.6433</v>
      </c>
      <c r="AN39" s="2">
        <v>123.8145</v>
      </c>
      <c r="AO39" s="2">
        <v>3.6309999999999998</v>
      </c>
      <c r="AP39" s="2">
        <v>33.808500000000002</v>
      </c>
      <c r="AQ39" s="2">
        <v>391.41449999999998</v>
      </c>
    </row>
    <row r="40" spans="1:43" x14ac:dyDescent="0.2">
      <c r="A40" s="3"/>
      <c r="B40" s="5"/>
      <c r="C40" s="3"/>
      <c r="D40" s="3"/>
      <c r="E40" s="3"/>
      <c r="F40" s="3"/>
      <c r="G40" s="2">
        <v>2</v>
      </c>
      <c r="H40" s="2">
        <v>-2.76E-2</v>
      </c>
      <c r="I40" s="2">
        <v>85.887299999999996</v>
      </c>
      <c r="J40" s="2">
        <v>159.9324</v>
      </c>
      <c r="K40" s="2">
        <v>265.78460000000001</v>
      </c>
      <c r="L40" s="2">
        <v>696.85850000000005</v>
      </c>
      <c r="M40" s="2">
        <v>1103.7</v>
      </c>
      <c r="N40" s="2">
        <v>0.24490000000000001</v>
      </c>
      <c r="O40" s="2">
        <v>79.101900000000001</v>
      </c>
      <c r="P40" s="2">
        <v>162.26759999999999</v>
      </c>
      <c r="Q40" s="2">
        <v>-11.589399999999999</v>
      </c>
      <c r="R40" s="2">
        <v>396.01900000000001</v>
      </c>
      <c r="S40" s="2">
        <v>841.01199999999994</v>
      </c>
      <c r="T40" s="2">
        <v>0.90380000000000005</v>
      </c>
      <c r="U40" s="2">
        <v>7.2816000000000001</v>
      </c>
      <c r="V40" s="2">
        <v>47.752699999999997</v>
      </c>
      <c r="W40" s="2">
        <v>7.6883999999999997</v>
      </c>
      <c r="X40" s="2">
        <v>40.096899999999998</v>
      </c>
      <c r="Y40" s="2">
        <v>172.7</v>
      </c>
      <c r="Z40" s="2">
        <v>-0.43319999999999997</v>
      </c>
      <c r="AA40" s="2">
        <v>1.9576</v>
      </c>
      <c r="AB40" s="2">
        <v>22.517800000000001</v>
      </c>
      <c r="AC40" s="2">
        <v>-5.8212999999999999</v>
      </c>
      <c r="AD40" s="2">
        <v>0.52880000000000005</v>
      </c>
      <c r="AE40" s="2">
        <v>22.6</v>
      </c>
      <c r="AF40" s="2">
        <v>0.89229999999999998</v>
      </c>
      <c r="AG40" s="2">
        <v>12.122400000000001</v>
      </c>
      <c r="AH40" s="2">
        <v>91.316999999999993</v>
      </c>
      <c r="AI40" s="2">
        <v>5.7386999999999997</v>
      </c>
      <c r="AJ40" s="2">
        <v>52.380800000000001</v>
      </c>
      <c r="AK40" s="2">
        <v>274.7878</v>
      </c>
      <c r="AL40" s="2">
        <v>0.77180000000000004</v>
      </c>
      <c r="AM40" s="2">
        <v>16.212499999999999</v>
      </c>
      <c r="AN40" s="2">
        <v>218.04259999999999</v>
      </c>
      <c r="AO40" s="2">
        <v>4.8</v>
      </c>
      <c r="AP40" s="2">
        <v>51.413200000000003</v>
      </c>
      <c r="AQ40" s="2">
        <v>352.3</v>
      </c>
    </row>
    <row r="41" spans="1:43" x14ac:dyDescent="0.2">
      <c r="A41" s="3"/>
      <c r="B41" s="6"/>
      <c r="C41" s="3"/>
      <c r="D41" s="3"/>
      <c r="E41" s="3"/>
      <c r="F41" s="3"/>
      <c r="G41" s="2" t="s">
        <v>47</v>
      </c>
      <c r="H41" s="2">
        <v>0.71689999999999998</v>
      </c>
      <c r="I41" s="2">
        <v>74.927800000000005</v>
      </c>
      <c r="J41" s="2">
        <v>179.75059999999999</v>
      </c>
      <c r="K41" s="2">
        <v>231.42590000000001</v>
      </c>
      <c r="L41" s="2">
        <v>971.30600000000004</v>
      </c>
      <c r="M41" s="2">
        <v>1322.5</v>
      </c>
      <c r="N41" s="2">
        <v>0.72430000000000005</v>
      </c>
      <c r="O41" s="2">
        <v>67.861699999999999</v>
      </c>
      <c r="P41" s="2">
        <v>173.7912</v>
      </c>
      <c r="Q41" s="2">
        <v>-147.22999999999999</v>
      </c>
      <c r="R41" s="2">
        <v>121.38120000000001</v>
      </c>
      <c r="S41" s="2">
        <v>860.17989999999998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">
      <c r="A42" s="3"/>
      <c r="B42" s="4" t="s">
        <v>67</v>
      </c>
      <c r="C42" s="3" t="s">
        <v>42</v>
      </c>
      <c r="D42" s="3" t="s">
        <v>43</v>
      </c>
      <c r="E42" s="3" t="s">
        <v>44</v>
      </c>
      <c r="F42" s="3" t="s">
        <v>43</v>
      </c>
      <c r="G42" s="2">
        <v>1</v>
      </c>
      <c r="H42" s="2">
        <v>0.87939999999999996</v>
      </c>
      <c r="I42" s="2">
        <v>61.789299999999997</v>
      </c>
      <c r="J42" s="2">
        <v>177.5</v>
      </c>
      <c r="K42" s="2">
        <v>233.1</v>
      </c>
      <c r="L42" s="2">
        <v>850.30179999999996</v>
      </c>
      <c r="M42" s="2">
        <v>1147.7</v>
      </c>
      <c r="N42" s="2">
        <v>0.90690000000000004</v>
      </c>
      <c r="O42" s="2">
        <v>53.9131</v>
      </c>
      <c r="P42" s="2">
        <v>168.33</v>
      </c>
      <c r="Q42" s="2">
        <v>-61.1</v>
      </c>
      <c r="R42" s="2">
        <v>231.33799999999999</v>
      </c>
      <c r="S42" s="2">
        <v>859.48</v>
      </c>
      <c r="T42" s="2">
        <v>0.93430000000000002</v>
      </c>
      <c r="U42" s="2">
        <v>3.2002999999999999</v>
      </c>
      <c r="V42" s="2">
        <v>78.099999999999994</v>
      </c>
      <c r="W42" s="2">
        <v>5.8</v>
      </c>
      <c r="X42" s="2">
        <v>31.4711</v>
      </c>
      <c r="Y42" s="2">
        <v>218</v>
      </c>
      <c r="Z42" s="2">
        <v>-4.9500000000000002E-2</v>
      </c>
      <c r="AA42" s="2">
        <v>1.2703</v>
      </c>
      <c r="AB42" s="2">
        <v>59.2</v>
      </c>
      <c r="AC42" s="2">
        <v>-21.5</v>
      </c>
      <c r="AD42" s="2">
        <v>0.57820000000000005</v>
      </c>
      <c r="AE42" s="2">
        <v>54.9</v>
      </c>
      <c r="AF42" s="2">
        <v>0.94450000000000001</v>
      </c>
      <c r="AG42" s="2">
        <v>5.3902000000000001</v>
      </c>
      <c r="AH42" s="2">
        <v>103.3</v>
      </c>
      <c r="AI42" s="2">
        <v>5.8</v>
      </c>
      <c r="AJ42" s="2">
        <v>38.4559</v>
      </c>
      <c r="AK42" s="2">
        <v>326.10000000000002</v>
      </c>
      <c r="AL42" s="2">
        <v>0.93020000000000003</v>
      </c>
      <c r="AM42" s="2">
        <v>5.9127999999999998</v>
      </c>
      <c r="AN42" s="2">
        <v>120.9</v>
      </c>
      <c r="AO42" s="2">
        <v>4</v>
      </c>
      <c r="AP42" s="2">
        <v>38.805799999999998</v>
      </c>
      <c r="AQ42" s="2">
        <v>352.3</v>
      </c>
    </row>
    <row r="43" spans="1:43" x14ac:dyDescent="0.2">
      <c r="A43" s="3"/>
      <c r="B43" s="5"/>
      <c r="C43" s="3"/>
      <c r="D43" s="3"/>
      <c r="E43" s="3"/>
      <c r="F43" s="3"/>
      <c r="G43" s="2">
        <v>2</v>
      </c>
      <c r="H43" s="2">
        <v>0.25069999999999998</v>
      </c>
      <c r="I43" s="2">
        <v>77.141400000000004</v>
      </c>
      <c r="J43" s="2">
        <v>130.5</v>
      </c>
      <c r="K43" s="2">
        <v>268</v>
      </c>
      <c r="L43" s="2">
        <v>698.87450000000001</v>
      </c>
      <c r="M43" s="2">
        <v>1054.2</v>
      </c>
      <c r="N43" s="2">
        <v>0.45229999999999998</v>
      </c>
      <c r="O43" s="2">
        <v>68.502600000000001</v>
      </c>
      <c r="P43" s="2">
        <v>125.86</v>
      </c>
      <c r="Q43" s="2">
        <v>29.560099999999998</v>
      </c>
      <c r="R43" s="2">
        <v>394.1379</v>
      </c>
      <c r="S43" s="2">
        <v>840.22</v>
      </c>
      <c r="T43" s="2">
        <v>0.91479999999999995</v>
      </c>
      <c r="U43" s="2">
        <v>6.5568999999999997</v>
      </c>
      <c r="V43" s="2">
        <v>41.1</v>
      </c>
      <c r="W43" s="2">
        <v>7</v>
      </c>
      <c r="X43" s="2">
        <v>38.890500000000003</v>
      </c>
      <c r="Y43" s="2">
        <v>218</v>
      </c>
      <c r="Z43" s="2">
        <v>-0.61319999999999997</v>
      </c>
      <c r="AA43" s="2">
        <v>2.2046000000000001</v>
      </c>
      <c r="AB43" s="2">
        <v>25</v>
      </c>
      <c r="AC43" s="2">
        <v>-5.3</v>
      </c>
      <c r="AD43" s="2">
        <v>0.48730000000000001</v>
      </c>
      <c r="AE43" s="2">
        <v>25</v>
      </c>
      <c r="AF43" s="2">
        <v>0.89370000000000005</v>
      </c>
      <c r="AG43" s="2">
        <v>11.079000000000001</v>
      </c>
      <c r="AH43" s="2">
        <v>83.1</v>
      </c>
      <c r="AI43" s="2">
        <v>6.2</v>
      </c>
      <c r="AJ43" s="2">
        <v>48.8232</v>
      </c>
      <c r="AK43" s="2">
        <v>273.39999999999998</v>
      </c>
      <c r="AL43" s="2">
        <v>0.79630000000000001</v>
      </c>
      <c r="AM43" s="2">
        <v>14.294499999999999</v>
      </c>
      <c r="AN43" s="2">
        <v>128.80000000000001</v>
      </c>
      <c r="AO43" s="2">
        <v>4.8</v>
      </c>
      <c r="AP43" s="2">
        <v>47.778799999999997</v>
      </c>
      <c r="AQ43" s="2">
        <v>273.39999999999998</v>
      </c>
    </row>
    <row r="44" spans="1:43" x14ac:dyDescent="0.2">
      <c r="A44" s="3"/>
      <c r="B44" s="6"/>
      <c r="C44" s="3"/>
      <c r="D44" s="3"/>
      <c r="E44" s="3"/>
      <c r="F44" s="3"/>
      <c r="G44" s="2" t="s">
        <v>47</v>
      </c>
      <c r="H44" s="2">
        <v>0.71730000000000005</v>
      </c>
      <c r="I44" s="2">
        <v>74.797499999999999</v>
      </c>
      <c r="J44" s="2">
        <v>179.2</v>
      </c>
      <c r="K44" s="2">
        <v>233.1</v>
      </c>
      <c r="L44" s="2">
        <v>971.29949999999997</v>
      </c>
      <c r="M44" s="2">
        <v>1322.5</v>
      </c>
      <c r="N44" s="2">
        <v>0.72840000000000005</v>
      </c>
      <c r="O44" s="2">
        <v>67.296099999999996</v>
      </c>
      <c r="P44" s="2">
        <v>173.02010000000001</v>
      </c>
      <c r="Q44" s="2">
        <v>-147.22999999999999</v>
      </c>
      <c r="R44" s="2">
        <v>121.1728</v>
      </c>
      <c r="S44" s="2">
        <v>859.48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">
      <c r="A45" s="3"/>
      <c r="B45" s="4" t="s">
        <v>66</v>
      </c>
      <c r="C45" s="3" t="s">
        <v>44</v>
      </c>
      <c r="D45" s="3" t="s">
        <v>45</v>
      </c>
      <c r="E45" s="3" t="s">
        <v>42</v>
      </c>
      <c r="F45" s="3" t="s">
        <v>43</v>
      </c>
      <c r="G45" s="2">
        <v>1</v>
      </c>
      <c r="H45" s="2">
        <v>0.79379999999999995</v>
      </c>
      <c r="I45" s="2">
        <v>71.6815</v>
      </c>
      <c r="J45" s="2">
        <v>170.55330000000001</v>
      </c>
      <c r="K45" s="2">
        <v>231.42590000000001</v>
      </c>
      <c r="L45" s="2">
        <v>899.68560000000002</v>
      </c>
      <c r="M45" s="2">
        <v>1145.5999999999999</v>
      </c>
      <c r="N45" s="2">
        <v>0.83350000000000002</v>
      </c>
      <c r="O45" s="2">
        <v>64.552700000000002</v>
      </c>
      <c r="P45" s="2">
        <v>167.4366</v>
      </c>
      <c r="Q45" s="2">
        <v>-61.1</v>
      </c>
      <c r="R45" s="2">
        <v>185.25040000000001</v>
      </c>
      <c r="S45" s="2">
        <v>860.17989999999998</v>
      </c>
      <c r="T45" s="2">
        <v>0.94679999999999997</v>
      </c>
      <c r="U45" s="2">
        <v>2.1903000000000001</v>
      </c>
      <c r="V45" s="2">
        <v>77.923699999999997</v>
      </c>
      <c r="W45" s="2">
        <v>4.8136999999999999</v>
      </c>
      <c r="X45" s="2">
        <v>27.511399999999998</v>
      </c>
      <c r="Y45" s="2">
        <v>218</v>
      </c>
      <c r="Z45" s="2">
        <v>-0.71699999999999997</v>
      </c>
      <c r="AA45" s="2">
        <v>1.3273999999999999</v>
      </c>
      <c r="AB45" s="2">
        <v>90.126199999999997</v>
      </c>
      <c r="AC45" s="2">
        <v>-10.5</v>
      </c>
      <c r="AD45" s="2">
        <v>0.78900000000000003</v>
      </c>
      <c r="AE45" s="2">
        <v>89.332099999999997</v>
      </c>
      <c r="AF45" s="2">
        <v>0.92410000000000003</v>
      </c>
      <c r="AG45" s="2">
        <v>4.2704000000000004</v>
      </c>
      <c r="AH45" s="2">
        <v>102.93259999999999</v>
      </c>
      <c r="AI45" s="2">
        <v>5.1516999999999999</v>
      </c>
      <c r="AJ45" s="2">
        <v>32.298900000000003</v>
      </c>
      <c r="AK45" s="2">
        <v>326.10000000000002</v>
      </c>
      <c r="AL45" s="2">
        <v>0.91690000000000005</v>
      </c>
      <c r="AM45" s="2">
        <v>4.6433</v>
      </c>
      <c r="AN45" s="2">
        <v>123.8145</v>
      </c>
      <c r="AO45" s="2">
        <v>3.6309999999999998</v>
      </c>
      <c r="AP45" s="2">
        <v>33.808500000000002</v>
      </c>
      <c r="AQ45" s="2">
        <v>391.41449999999998</v>
      </c>
    </row>
    <row r="46" spans="1:43" x14ac:dyDescent="0.2">
      <c r="A46" s="3"/>
      <c r="B46" s="5"/>
      <c r="C46" s="3"/>
      <c r="D46" s="3"/>
      <c r="E46" s="3"/>
      <c r="F46" s="3"/>
      <c r="G46" s="2">
        <v>2</v>
      </c>
      <c r="H46" s="2">
        <v>-0.38690000000000002</v>
      </c>
      <c r="I46" s="2">
        <v>85.887299999999996</v>
      </c>
      <c r="J46" s="2">
        <v>159.9324</v>
      </c>
      <c r="K46" s="2">
        <v>265.78460000000001</v>
      </c>
      <c r="L46" s="2">
        <v>696.85850000000005</v>
      </c>
      <c r="M46" s="2">
        <v>1103.7</v>
      </c>
      <c r="N46" s="2">
        <v>1E-4</v>
      </c>
      <c r="O46" s="2">
        <v>79.101900000000001</v>
      </c>
      <c r="P46" s="2">
        <v>162.26759999999999</v>
      </c>
      <c r="Q46" s="2">
        <v>-11.589399999999999</v>
      </c>
      <c r="R46" s="2">
        <v>396.01900000000001</v>
      </c>
      <c r="S46" s="2">
        <v>841.01199999999994</v>
      </c>
      <c r="T46" s="2">
        <v>0.85799999999999998</v>
      </c>
      <c r="U46" s="2">
        <v>7.2816000000000001</v>
      </c>
      <c r="V46" s="2">
        <v>47.752699999999997</v>
      </c>
      <c r="W46" s="2">
        <v>7.6883999999999997</v>
      </c>
      <c r="X46" s="2">
        <v>40.096899999999998</v>
      </c>
      <c r="Y46" s="2">
        <v>172.7</v>
      </c>
      <c r="Z46" s="2">
        <v>-18.982800000000001</v>
      </c>
      <c r="AA46" s="2">
        <v>1.9576</v>
      </c>
      <c r="AB46" s="2">
        <v>22.517800000000001</v>
      </c>
      <c r="AC46" s="2">
        <v>-5.8212999999999999</v>
      </c>
      <c r="AD46" s="2">
        <v>0.52880000000000005</v>
      </c>
      <c r="AE46" s="2">
        <v>22.6</v>
      </c>
      <c r="AF46" s="2">
        <v>0.85980000000000001</v>
      </c>
      <c r="AG46" s="2">
        <v>12.122400000000001</v>
      </c>
      <c r="AH46" s="2">
        <v>91.316999999999993</v>
      </c>
      <c r="AI46" s="2">
        <v>5.7386999999999997</v>
      </c>
      <c r="AJ46" s="2">
        <v>52.380800000000001</v>
      </c>
      <c r="AK46" s="2">
        <v>274.7878</v>
      </c>
      <c r="AL46" s="2">
        <v>0.65959999999999996</v>
      </c>
      <c r="AM46" s="2">
        <v>16.212499999999999</v>
      </c>
      <c r="AN46" s="2">
        <v>218.04259999999999</v>
      </c>
      <c r="AO46" s="2">
        <v>4.8</v>
      </c>
      <c r="AP46" s="2">
        <v>51.413200000000003</v>
      </c>
      <c r="AQ46" s="2">
        <v>352.3</v>
      </c>
    </row>
    <row r="47" spans="1:43" x14ac:dyDescent="0.2">
      <c r="A47" s="3"/>
      <c r="B47" s="6"/>
      <c r="C47" s="3"/>
      <c r="D47" s="3"/>
      <c r="E47" s="3"/>
      <c r="F47" s="3"/>
      <c r="G47" s="2" t="s">
        <v>47</v>
      </c>
      <c r="H47" s="2">
        <v>0.6996</v>
      </c>
      <c r="I47" s="2">
        <v>74.927800000000005</v>
      </c>
      <c r="J47" s="2">
        <v>179.75059999999999</v>
      </c>
      <c r="K47" s="2">
        <v>231.42590000000001</v>
      </c>
      <c r="L47" s="2">
        <v>971.30600000000004</v>
      </c>
      <c r="M47" s="2">
        <v>1322.5</v>
      </c>
      <c r="N47" s="2">
        <v>0.71179999999999999</v>
      </c>
      <c r="O47" s="2">
        <v>67.861699999999999</v>
      </c>
      <c r="P47" s="2">
        <v>173.7912</v>
      </c>
      <c r="Q47" s="2">
        <v>-147.22999999999999</v>
      </c>
      <c r="R47" s="2">
        <v>121.38120000000001</v>
      </c>
      <c r="S47" s="2">
        <v>860.17989999999998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">
      <c r="A48" s="3"/>
      <c r="B48" s="4" t="s">
        <v>71</v>
      </c>
      <c r="C48" s="3" t="s">
        <v>44</v>
      </c>
      <c r="D48" s="3" t="s">
        <v>43</v>
      </c>
      <c r="E48" s="3" t="s">
        <v>44</v>
      </c>
      <c r="F48" s="3" t="s">
        <v>45</v>
      </c>
      <c r="G48" s="2">
        <v>1</v>
      </c>
      <c r="H48" s="2">
        <v>0.99860000000000004</v>
      </c>
      <c r="I48" s="2">
        <v>4.2016</v>
      </c>
      <c r="J48" s="2">
        <v>93.350300000000004</v>
      </c>
      <c r="K48" s="2">
        <v>231.42590000000001</v>
      </c>
      <c r="L48" s="2">
        <v>873.00660000000005</v>
      </c>
      <c r="M48" s="2">
        <v>1252.6950999999999</v>
      </c>
      <c r="N48" s="2">
        <v>0.99829999999999997</v>
      </c>
      <c r="O48" s="2">
        <v>4.9234999999999998</v>
      </c>
      <c r="P48" s="2">
        <v>95.004099999999994</v>
      </c>
      <c r="Q48" s="2">
        <v>-77.5608</v>
      </c>
      <c r="R48" s="2">
        <v>204.56809999999999</v>
      </c>
      <c r="S48" s="2">
        <v>860.17989999999998</v>
      </c>
      <c r="T48" s="2">
        <v>0.97160000000000002</v>
      </c>
      <c r="U48" s="2">
        <v>0.85099999999999998</v>
      </c>
      <c r="V48" s="2">
        <v>111.2077</v>
      </c>
      <c r="W48" s="2">
        <v>5.7039999999999997</v>
      </c>
      <c r="X48" s="2">
        <v>27.578800000000001</v>
      </c>
      <c r="Y48" s="2">
        <v>218</v>
      </c>
      <c r="Z48" s="2">
        <v>-6.1848999999999998</v>
      </c>
      <c r="AA48" s="2">
        <v>0.89410000000000001</v>
      </c>
      <c r="AB48" s="2">
        <v>125.136</v>
      </c>
      <c r="AC48" s="2">
        <v>-25.8</v>
      </c>
      <c r="AD48" s="2">
        <v>0.46</v>
      </c>
      <c r="AE48" s="2">
        <v>99.335999999999999</v>
      </c>
      <c r="AF48" s="2">
        <v>0.99960000000000004</v>
      </c>
      <c r="AG48" s="2">
        <v>0.36249999999999999</v>
      </c>
      <c r="AH48" s="2">
        <v>9.5326000000000004</v>
      </c>
      <c r="AI48" s="2">
        <v>5.0753000000000004</v>
      </c>
      <c r="AJ48" s="2">
        <v>32.271799999999999</v>
      </c>
      <c r="AK48" s="2">
        <v>305.34980000000002</v>
      </c>
      <c r="AL48" s="2">
        <v>0.98340000000000005</v>
      </c>
      <c r="AM48" s="2">
        <v>2.0072999999999999</v>
      </c>
      <c r="AN48" s="2">
        <v>55.914499999999997</v>
      </c>
      <c r="AO48" s="2">
        <v>3.6309999999999998</v>
      </c>
      <c r="AP48" s="2">
        <v>34.038600000000002</v>
      </c>
      <c r="AQ48" s="2">
        <v>421.3</v>
      </c>
    </row>
    <row r="49" spans="1:43" x14ac:dyDescent="0.2">
      <c r="A49" s="3"/>
      <c r="B49" s="5"/>
      <c r="C49" s="3"/>
      <c r="D49" s="3"/>
      <c r="E49" s="3"/>
      <c r="F49" s="3"/>
      <c r="G49" s="2">
        <v>2</v>
      </c>
      <c r="H49" s="2">
        <v>0.99960000000000004</v>
      </c>
      <c r="I49" s="2">
        <v>2.0707</v>
      </c>
      <c r="J49" s="2">
        <v>9.6245999999999992</v>
      </c>
      <c r="K49" s="2">
        <v>372.39159999999998</v>
      </c>
      <c r="L49" s="2">
        <v>818.17899999999997</v>
      </c>
      <c r="M49" s="2">
        <v>1106.2245</v>
      </c>
      <c r="N49" s="2">
        <v>0.99929999999999997</v>
      </c>
      <c r="O49" s="2">
        <v>3.2803</v>
      </c>
      <c r="P49" s="2">
        <v>12.3363</v>
      </c>
      <c r="Q49" s="2">
        <v>-30.642600000000002</v>
      </c>
      <c r="R49" s="2">
        <v>237.87540000000001</v>
      </c>
      <c r="S49" s="2">
        <v>731.79790000000003</v>
      </c>
      <c r="T49" s="2">
        <v>0.94630000000000003</v>
      </c>
      <c r="U49" s="2">
        <v>2.1358999999999999</v>
      </c>
      <c r="V49" s="2">
        <v>38.174100000000003</v>
      </c>
      <c r="W49" s="2">
        <v>5.8</v>
      </c>
      <c r="X49" s="2">
        <v>24.546099999999999</v>
      </c>
      <c r="Y49" s="2">
        <v>218</v>
      </c>
      <c r="Z49" s="2">
        <v>-1.4060999999999999</v>
      </c>
      <c r="AA49" s="2">
        <v>1.0445</v>
      </c>
      <c r="AB49" s="2">
        <v>20.336400000000001</v>
      </c>
      <c r="AC49" s="2">
        <v>-9.3994999999999997</v>
      </c>
      <c r="AD49" s="2">
        <v>0.1119</v>
      </c>
      <c r="AE49" s="2">
        <v>25.276</v>
      </c>
      <c r="AF49" s="2">
        <v>0.95669999999999999</v>
      </c>
      <c r="AG49" s="2">
        <v>2.5257999999999998</v>
      </c>
      <c r="AH49" s="2">
        <v>46.402000000000001</v>
      </c>
      <c r="AI49" s="2">
        <v>5.0999999999999996</v>
      </c>
      <c r="AJ49" s="2">
        <v>27.130400000000002</v>
      </c>
      <c r="AK49" s="2">
        <v>260.10199999999998</v>
      </c>
      <c r="AL49" s="2">
        <v>0.81289999999999996</v>
      </c>
      <c r="AM49" s="2">
        <v>5.09</v>
      </c>
      <c r="AN49" s="2">
        <v>115.0972</v>
      </c>
      <c r="AO49" s="2">
        <v>4.8708999999999998</v>
      </c>
      <c r="AP49" s="2">
        <v>28.164400000000001</v>
      </c>
      <c r="AQ49" s="2">
        <v>257.5</v>
      </c>
    </row>
    <row r="50" spans="1:43" x14ac:dyDescent="0.2">
      <c r="A50" s="3"/>
      <c r="B50" s="6"/>
      <c r="C50" s="3"/>
      <c r="D50" s="3"/>
      <c r="E50" s="3"/>
      <c r="F50" s="3"/>
      <c r="G50" s="2" t="s">
        <v>47</v>
      </c>
      <c r="H50" s="2">
        <v>0.99880000000000002</v>
      </c>
      <c r="I50" s="2">
        <v>3.1518999999999999</v>
      </c>
      <c r="J50" s="2">
        <v>93.350300000000004</v>
      </c>
      <c r="K50" s="2">
        <v>231.42590000000001</v>
      </c>
      <c r="L50" s="2">
        <v>933.93640000000005</v>
      </c>
      <c r="M50" s="2">
        <v>1252.6950999999999</v>
      </c>
      <c r="N50" s="2">
        <v>0.99839999999999995</v>
      </c>
      <c r="O50" s="2">
        <v>3.5722999999999998</v>
      </c>
      <c r="P50" s="2">
        <v>95.004099999999994</v>
      </c>
      <c r="Q50" s="2">
        <v>-86.843900000000005</v>
      </c>
      <c r="R50" s="2">
        <v>154.97929999999999</v>
      </c>
      <c r="S50" s="2">
        <v>860.17989999999998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">
      <c r="A51" s="3" t="s">
        <v>74</v>
      </c>
      <c r="B51" s="4" t="s">
        <v>70</v>
      </c>
      <c r="C51" s="3" t="s">
        <v>46</v>
      </c>
      <c r="D51" s="3" t="s">
        <v>45</v>
      </c>
      <c r="E51" s="3" t="s">
        <v>46</v>
      </c>
      <c r="F51" s="3" t="s">
        <v>43</v>
      </c>
      <c r="G51" s="2">
        <v>1</v>
      </c>
      <c r="H51" s="2">
        <v>0.98580000000000001</v>
      </c>
      <c r="I51" s="2">
        <v>8.9438999999999993</v>
      </c>
      <c r="J51" s="2">
        <v>856.15229999999997</v>
      </c>
      <c r="K51" s="2">
        <v>75.031199999999998</v>
      </c>
      <c r="L51" s="2">
        <v>665.58280000000002</v>
      </c>
      <c r="M51" s="2">
        <v>1080.2</v>
      </c>
      <c r="N51" s="2">
        <v>0.99619999999999997</v>
      </c>
      <c r="O51" s="2">
        <v>9.9448000000000008</v>
      </c>
      <c r="P51" s="2">
        <v>37.4221</v>
      </c>
      <c r="Q51" s="2">
        <v>-87.65</v>
      </c>
      <c r="R51" s="2">
        <v>282.67860000000002</v>
      </c>
      <c r="S51" s="2">
        <v>3350.92</v>
      </c>
      <c r="T51" s="2">
        <v>0.99570000000000003</v>
      </c>
      <c r="U51" s="2">
        <v>0.52149999999999996</v>
      </c>
      <c r="V51" s="2">
        <v>23.631399999999999</v>
      </c>
      <c r="W51" s="2">
        <v>3.4</v>
      </c>
      <c r="X51" s="2">
        <v>25.841899999999999</v>
      </c>
      <c r="Y51" s="2">
        <v>218</v>
      </c>
      <c r="Z51" s="2">
        <v>0.94910000000000005</v>
      </c>
      <c r="AA51" s="2">
        <v>0.28160000000000002</v>
      </c>
      <c r="AB51" s="2">
        <v>3.1537000000000002</v>
      </c>
      <c r="AC51" s="2">
        <v>-13.553699999999999</v>
      </c>
      <c r="AD51" s="2">
        <v>0.1482</v>
      </c>
      <c r="AE51" s="2">
        <v>11.9252</v>
      </c>
      <c r="AF51" s="2">
        <v>0.99790000000000001</v>
      </c>
      <c r="AG51" s="2">
        <v>0.39800000000000002</v>
      </c>
      <c r="AH51" s="2">
        <v>26.063099999999999</v>
      </c>
      <c r="AI51" s="2">
        <v>2.8569</v>
      </c>
      <c r="AJ51" s="2">
        <v>26.241800000000001</v>
      </c>
      <c r="AK51" s="2">
        <v>257.10000000000002</v>
      </c>
      <c r="AL51" s="2">
        <v>0.94630000000000003</v>
      </c>
      <c r="AM51" s="2">
        <v>2.0318000000000001</v>
      </c>
      <c r="AN51" s="2">
        <v>122.0265</v>
      </c>
      <c r="AO51" s="2">
        <v>2.8569</v>
      </c>
      <c r="AP51" s="2">
        <v>25.7714</v>
      </c>
      <c r="AQ51" s="2">
        <v>327</v>
      </c>
    </row>
    <row r="52" spans="1:43" x14ac:dyDescent="0.2">
      <c r="A52" s="3"/>
      <c r="B52" s="5"/>
      <c r="C52" s="3"/>
      <c r="D52" s="3"/>
      <c r="E52" s="3"/>
      <c r="F52" s="3"/>
      <c r="G52" s="2">
        <v>2</v>
      </c>
      <c r="H52" s="2">
        <v>0.98599999999999999</v>
      </c>
      <c r="I52" s="2">
        <v>9.4585000000000008</v>
      </c>
      <c r="J52" s="2">
        <v>20.4954</v>
      </c>
      <c r="K52" s="2">
        <v>316.44549999999998</v>
      </c>
      <c r="L52" s="2">
        <v>655.04049999999995</v>
      </c>
      <c r="M52" s="2">
        <v>896.4</v>
      </c>
      <c r="N52" s="2">
        <v>0.99739999999999995</v>
      </c>
      <c r="O52" s="2">
        <v>9.2571999999999992</v>
      </c>
      <c r="P52" s="2">
        <v>22.869399999999999</v>
      </c>
      <c r="Q52" s="2">
        <v>107.31</v>
      </c>
      <c r="R52" s="2">
        <v>310.13150000000002</v>
      </c>
      <c r="S52" s="2">
        <v>1317.3969999999999</v>
      </c>
      <c r="T52" s="2">
        <v>0.96020000000000005</v>
      </c>
      <c r="U52" s="2">
        <v>2.8256999999999999</v>
      </c>
      <c r="V52" s="2">
        <v>18.2088</v>
      </c>
      <c r="W52" s="2">
        <v>4.7569999999999997</v>
      </c>
      <c r="X52" s="2">
        <v>29.8184</v>
      </c>
      <c r="Y52" s="2">
        <v>218</v>
      </c>
      <c r="Z52" s="2">
        <v>-2.2732999999999999</v>
      </c>
      <c r="AA52" s="2">
        <v>3.1004</v>
      </c>
      <c r="AB52" s="2">
        <v>21.761199999999999</v>
      </c>
      <c r="AC52" s="2">
        <v>-10.5</v>
      </c>
      <c r="AD52" s="2">
        <v>-1.9199999999999998E-2</v>
      </c>
      <c r="AE52" s="2">
        <v>11.261200000000001</v>
      </c>
      <c r="AF52" s="2">
        <v>0.93289999999999995</v>
      </c>
      <c r="AG52" s="2">
        <v>5.4673999999999996</v>
      </c>
      <c r="AH52" s="2">
        <v>44.849800000000002</v>
      </c>
      <c r="AI52" s="2">
        <v>4.2321</v>
      </c>
      <c r="AJ52" s="2">
        <v>34.3202</v>
      </c>
      <c r="AK52" s="2">
        <v>252.7</v>
      </c>
      <c r="AL52" s="2">
        <v>0.84719999999999995</v>
      </c>
      <c r="AM52" s="2">
        <v>6.6296999999999997</v>
      </c>
      <c r="AN52" s="2">
        <v>124.6763</v>
      </c>
      <c r="AO52" s="2">
        <v>3.8923000000000001</v>
      </c>
      <c r="AP52" s="2">
        <v>33.118299999999998</v>
      </c>
      <c r="AQ52" s="2">
        <v>261.2</v>
      </c>
    </row>
    <row r="53" spans="1:43" x14ac:dyDescent="0.2">
      <c r="A53" s="3"/>
      <c r="B53" s="5"/>
      <c r="C53" s="3"/>
      <c r="D53" s="3"/>
      <c r="E53" s="3"/>
      <c r="F53" s="3"/>
      <c r="G53" s="2" t="s">
        <v>47</v>
      </c>
      <c r="H53" s="2">
        <v>0.98819999999999997</v>
      </c>
      <c r="I53" s="2">
        <v>9.5881000000000007</v>
      </c>
      <c r="J53" s="2">
        <v>856.15229999999997</v>
      </c>
      <c r="K53" s="2">
        <v>75.031199999999998</v>
      </c>
      <c r="L53" s="2">
        <v>701.44970000000001</v>
      </c>
      <c r="M53" s="2">
        <v>1089.5999999999999</v>
      </c>
      <c r="N53" s="2">
        <v>0.99580000000000002</v>
      </c>
      <c r="O53" s="2">
        <v>10.2346</v>
      </c>
      <c r="P53" s="2">
        <v>37.4221</v>
      </c>
      <c r="Q53" s="2">
        <v>-122.7</v>
      </c>
      <c r="R53" s="2">
        <v>245.81809999999999</v>
      </c>
      <c r="S53" s="2">
        <v>3350.92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">
      <c r="A54" s="3"/>
      <c r="B54" s="5"/>
      <c r="C54" s="3" t="s">
        <v>46</v>
      </c>
      <c r="D54" s="3" t="s">
        <v>43</v>
      </c>
      <c r="E54" s="3" t="s">
        <v>46</v>
      </c>
      <c r="F54" s="3" t="s">
        <v>45</v>
      </c>
      <c r="G54" s="2">
        <v>1</v>
      </c>
      <c r="H54" s="2">
        <v>0.98609999999999998</v>
      </c>
      <c r="I54" s="2">
        <v>8.9438999999999993</v>
      </c>
      <c r="J54" s="2">
        <v>856.15229999999997</v>
      </c>
      <c r="K54" s="2">
        <v>75.031199999999998</v>
      </c>
      <c r="L54" s="2">
        <v>665.58280000000002</v>
      </c>
      <c r="M54" s="2">
        <v>1080.2</v>
      </c>
      <c r="N54" s="2">
        <v>0.99629999999999996</v>
      </c>
      <c r="O54" s="2">
        <v>9.9448000000000008</v>
      </c>
      <c r="P54" s="2">
        <v>37.4221</v>
      </c>
      <c r="Q54" s="2">
        <v>-87.65</v>
      </c>
      <c r="R54" s="2">
        <v>282.67860000000002</v>
      </c>
      <c r="S54" s="2">
        <v>3350.92</v>
      </c>
      <c r="T54" s="2">
        <v>0.99580000000000002</v>
      </c>
      <c r="U54" s="2">
        <v>0.52149999999999996</v>
      </c>
      <c r="V54" s="2">
        <v>23.631399999999999</v>
      </c>
      <c r="W54" s="2">
        <v>3.4</v>
      </c>
      <c r="X54" s="2">
        <v>25.841899999999999</v>
      </c>
      <c r="Y54" s="2">
        <v>218</v>
      </c>
      <c r="Z54" s="2">
        <v>0.91739999999999999</v>
      </c>
      <c r="AA54" s="2">
        <v>0.28160000000000002</v>
      </c>
      <c r="AB54" s="2">
        <v>3.1537000000000002</v>
      </c>
      <c r="AC54" s="2">
        <v>-13.553699999999999</v>
      </c>
      <c r="AD54" s="2">
        <v>0.1482</v>
      </c>
      <c r="AE54" s="2">
        <v>11.9252</v>
      </c>
      <c r="AF54" s="2">
        <v>0.99790000000000001</v>
      </c>
      <c r="AG54" s="2">
        <v>0.39800000000000002</v>
      </c>
      <c r="AH54" s="2">
        <v>26.063099999999999</v>
      </c>
      <c r="AI54" s="2">
        <v>2.8569</v>
      </c>
      <c r="AJ54" s="2">
        <v>26.241800000000001</v>
      </c>
      <c r="AK54" s="2">
        <v>257.10000000000002</v>
      </c>
      <c r="AL54" s="2">
        <v>0.95309999999999995</v>
      </c>
      <c r="AM54" s="2">
        <v>2.0318000000000001</v>
      </c>
      <c r="AN54" s="2">
        <v>122.0265</v>
      </c>
      <c r="AO54" s="2">
        <v>2.8569</v>
      </c>
      <c r="AP54" s="2">
        <v>25.7714</v>
      </c>
      <c r="AQ54" s="2">
        <v>327</v>
      </c>
    </row>
    <row r="55" spans="1:43" x14ac:dyDescent="0.2">
      <c r="A55" s="3"/>
      <c r="B55" s="5"/>
      <c r="C55" s="3"/>
      <c r="D55" s="3"/>
      <c r="E55" s="3"/>
      <c r="F55" s="3"/>
      <c r="G55" s="2">
        <v>2</v>
      </c>
      <c r="H55" s="2">
        <v>0.98629999999999995</v>
      </c>
      <c r="I55" s="2">
        <v>9.4585000000000008</v>
      </c>
      <c r="J55" s="2">
        <v>20.4954</v>
      </c>
      <c r="K55" s="2">
        <v>316.44549999999998</v>
      </c>
      <c r="L55" s="2">
        <v>655.04049999999995</v>
      </c>
      <c r="M55" s="2">
        <v>896.4</v>
      </c>
      <c r="N55" s="2">
        <v>0.99739999999999995</v>
      </c>
      <c r="O55" s="2">
        <v>9.2571999999999992</v>
      </c>
      <c r="P55" s="2">
        <v>22.869399999999999</v>
      </c>
      <c r="Q55" s="2">
        <v>107.31</v>
      </c>
      <c r="R55" s="2">
        <v>310.13150000000002</v>
      </c>
      <c r="S55" s="2">
        <v>1317.3969999999999</v>
      </c>
      <c r="T55" s="2">
        <v>0.96209999999999996</v>
      </c>
      <c r="U55" s="2">
        <v>2.8256999999999999</v>
      </c>
      <c r="V55" s="2">
        <v>18.2088</v>
      </c>
      <c r="W55" s="2">
        <v>4.7569999999999997</v>
      </c>
      <c r="X55" s="2">
        <v>29.8184</v>
      </c>
      <c r="Y55" s="2">
        <v>218</v>
      </c>
      <c r="Z55" s="2">
        <v>-4.0823999999999998</v>
      </c>
      <c r="AA55" s="2">
        <v>3.1004</v>
      </c>
      <c r="AB55" s="2">
        <v>21.761199999999999</v>
      </c>
      <c r="AC55" s="2">
        <v>-10.5</v>
      </c>
      <c r="AD55" s="2">
        <v>-1.9199999999999998E-2</v>
      </c>
      <c r="AE55" s="2">
        <v>11.261200000000001</v>
      </c>
      <c r="AF55" s="2">
        <v>0.93310000000000004</v>
      </c>
      <c r="AG55" s="2">
        <v>5.4673999999999996</v>
      </c>
      <c r="AH55" s="2">
        <v>44.849800000000002</v>
      </c>
      <c r="AI55" s="2">
        <v>4.2321</v>
      </c>
      <c r="AJ55" s="2">
        <v>34.3202</v>
      </c>
      <c r="AK55" s="2">
        <v>252.7</v>
      </c>
      <c r="AL55" s="2">
        <v>0.86650000000000005</v>
      </c>
      <c r="AM55" s="2">
        <v>6.6296999999999997</v>
      </c>
      <c r="AN55" s="2">
        <v>124.6763</v>
      </c>
      <c r="AO55" s="2">
        <v>3.8923000000000001</v>
      </c>
      <c r="AP55" s="2">
        <v>33.118299999999998</v>
      </c>
      <c r="AQ55" s="2">
        <v>261.2</v>
      </c>
    </row>
    <row r="56" spans="1:43" x14ac:dyDescent="0.2">
      <c r="A56" s="3"/>
      <c r="B56" s="6"/>
      <c r="C56" s="3"/>
      <c r="D56" s="3"/>
      <c r="E56" s="3"/>
      <c r="F56" s="3"/>
      <c r="G56" s="2" t="s">
        <v>47</v>
      </c>
      <c r="H56" s="2">
        <v>0.98850000000000005</v>
      </c>
      <c r="I56" s="2">
        <v>9.5881000000000007</v>
      </c>
      <c r="J56" s="2">
        <v>856.15229999999997</v>
      </c>
      <c r="K56" s="2">
        <v>75.031199999999998</v>
      </c>
      <c r="L56" s="2">
        <v>701.44970000000001</v>
      </c>
      <c r="M56" s="2">
        <v>1089.5999999999999</v>
      </c>
      <c r="N56" s="2">
        <v>0.99580000000000002</v>
      </c>
      <c r="O56" s="2">
        <v>10.2346</v>
      </c>
      <c r="P56" s="2">
        <v>37.4221</v>
      </c>
      <c r="Q56" s="2">
        <v>-122.7</v>
      </c>
      <c r="R56" s="2">
        <v>245.81809999999999</v>
      </c>
      <c r="S56" s="2">
        <v>3350.92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">
      <c r="A57" s="3"/>
      <c r="B57" s="4" t="s">
        <v>68</v>
      </c>
      <c r="C57" s="3" t="s">
        <v>42</v>
      </c>
      <c r="D57" s="3" t="s">
        <v>45</v>
      </c>
      <c r="E57" s="3" t="s">
        <v>44</v>
      </c>
      <c r="F57" s="3" t="s">
        <v>45</v>
      </c>
      <c r="G57" s="2">
        <v>1</v>
      </c>
      <c r="H57" s="2">
        <v>0.83950000000000002</v>
      </c>
      <c r="I57" s="2">
        <v>71.912300000000002</v>
      </c>
      <c r="J57" s="2">
        <v>230.87629999999999</v>
      </c>
      <c r="K57" s="2">
        <v>76.7316</v>
      </c>
      <c r="L57" s="2">
        <v>780.93330000000003</v>
      </c>
      <c r="M57" s="2">
        <v>1173.5717999999999</v>
      </c>
      <c r="N57" s="2">
        <v>0.95920000000000005</v>
      </c>
      <c r="O57" s="2">
        <v>40.1479</v>
      </c>
      <c r="P57" s="2">
        <v>195.661</v>
      </c>
      <c r="Q57" s="2">
        <v>-115.4725</v>
      </c>
      <c r="R57" s="2">
        <v>211.46559999999999</v>
      </c>
      <c r="S57" s="2">
        <v>3344.8777</v>
      </c>
      <c r="T57" s="2">
        <v>0.97850000000000004</v>
      </c>
      <c r="U57" s="2">
        <v>2.7086000000000001</v>
      </c>
      <c r="V57" s="2">
        <v>65.891800000000003</v>
      </c>
      <c r="W57" s="2">
        <v>4.8038999999999996</v>
      </c>
      <c r="X57" s="2">
        <v>40.6751</v>
      </c>
      <c r="Y57" s="2">
        <v>249.13570000000001</v>
      </c>
      <c r="Z57" s="2">
        <v>0.32900000000000001</v>
      </c>
      <c r="AA57" s="2">
        <v>1.3916999999999999</v>
      </c>
      <c r="AB57" s="2">
        <v>181.1628</v>
      </c>
      <c r="AC57" s="2">
        <v>-12.8751</v>
      </c>
      <c r="AD57" s="2">
        <v>1.2617</v>
      </c>
      <c r="AE57" s="2">
        <v>270.59890000000001</v>
      </c>
      <c r="AF57" s="2">
        <v>0.9667</v>
      </c>
      <c r="AG57" s="2">
        <v>5.7755000000000001</v>
      </c>
      <c r="AH57" s="2">
        <v>163.07849999999999</v>
      </c>
      <c r="AI57" s="2">
        <v>4.8330000000000002</v>
      </c>
      <c r="AJ57" s="2">
        <v>51.679499999999997</v>
      </c>
      <c r="AK57" s="2">
        <v>357.298</v>
      </c>
      <c r="AL57" s="2">
        <v>0.96260000000000001</v>
      </c>
      <c r="AM57" s="2">
        <v>6.2004999999999999</v>
      </c>
      <c r="AN57" s="2">
        <v>197.245</v>
      </c>
      <c r="AO57" s="2">
        <v>3.9940000000000002</v>
      </c>
      <c r="AP57" s="2">
        <v>52.935499999999998</v>
      </c>
      <c r="AQ57" s="2">
        <v>568.99490000000003</v>
      </c>
    </row>
    <row r="58" spans="1:43" x14ac:dyDescent="0.2">
      <c r="A58" s="3"/>
      <c r="B58" s="5"/>
      <c r="C58" s="3"/>
      <c r="D58" s="3"/>
      <c r="E58" s="3"/>
      <c r="F58" s="3"/>
      <c r="G58" s="2">
        <v>2</v>
      </c>
      <c r="H58" s="2">
        <v>0.3271</v>
      </c>
      <c r="I58" s="2">
        <v>83.928600000000003</v>
      </c>
      <c r="J58" s="2">
        <v>161.77340000000001</v>
      </c>
      <c r="K58" s="2">
        <v>286.61250000000001</v>
      </c>
      <c r="L58" s="2">
        <v>832.2654</v>
      </c>
      <c r="M58" s="2">
        <v>1043.9467999999999</v>
      </c>
      <c r="N58" s="2">
        <v>0.83640000000000003</v>
      </c>
      <c r="O58" s="2">
        <v>52.279600000000002</v>
      </c>
      <c r="P58" s="2">
        <v>133.03</v>
      </c>
      <c r="Q58" s="2">
        <v>-40.053400000000003</v>
      </c>
      <c r="R58" s="2">
        <v>158.5042</v>
      </c>
      <c r="S58" s="2">
        <v>1042.8638000000001</v>
      </c>
      <c r="T58" s="2">
        <v>0.92379999999999995</v>
      </c>
      <c r="U58" s="2">
        <v>5.3743999999999996</v>
      </c>
      <c r="V58" s="2">
        <v>70.625699999999995</v>
      </c>
      <c r="W58" s="2">
        <v>6.2351999999999999</v>
      </c>
      <c r="X58" s="2">
        <v>40.5398</v>
      </c>
      <c r="Y58" s="2">
        <v>227.4889</v>
      </c>
      <c r="Z58" s="2">
        <v>-3.1199999999999999E-2</v>
      </c>
      <c r="AA58" s="2">
        <v>3.2404999999999999</v>
      </c>
      <c r="AB58" s="2">
        <v>69.291700000000006</v>
      </c>
      <c r="AC58" s="2">
        <v>-9.7513000000000005</v>
      </c>
      <c r="AD58" s="2">
        <v>1.6037999999999999</v>
      </c>
      <c r="AE58" s="2">
        <v>83.633799999999994</v>
      </c>
      <c r="AF58" s="2">
        <v>0.89610000000000001</v>
      </c>
      <c r="AG58" s="2">
        <v>9.6263000000000005</v>
      </c>
      <c r="AH58" s="2">
        <v>132.59360000000001</v>
      </c>
      <c r="AI58" s="2">
        <v>4.8479000000000001</v>
      </c>
      <c r="AJ58" s="2">
        <v>52.717300000000002</v>
      </c>
      <c r="AK58" s="2">
        <v>313.20359999999999</v>
      </c>
      <c r="AL58" s="2">
        <v>0.74039999999999995</v>
      </c>
      <c r="AM58" s="2">
        <v>15.142899999999999</v>
      </c>
      <c r="AN58" s="2">
        <v>275.23579999999998</v>
      </c>
      <c r="AO58" s="2">
        <v>4.0603999999999996</v>
      </c>
      <c r="AP58" s="2">
        <v>52.436100000000003</v>
      </c>
      <c r="AQ58" s="2">
        <v>500.12939999999998</v>
      </c>
    </row>
    <row r="59" spans="1:43" x14ac:dyDescent="0.2">
      <c r="A59" s="3"/>
      <c r="B59" s="6"/>
      <c r="C59" s="3"/>
      <c r="D59" s="3"/>
      <c r="E59" s="3"/>
      <c r="F59" s="3"/>
      <c r="G59" s="2" t="s">
        <v>47</v>
      </c>
      <c r="H59" s="2">
        <v>0.79349999999999998</v>
      </c>
      <c r="I59" s="2">
        <v>72.892799999999994</v>
      </c>
      <c r="J59" s="2">
        <v>230.87629999999999</v>
      </c>
      <c r="K59" s="2">
        <v>76.7316</v>
      </c>
      <c r="L59" s="2">
        <v>867.22090000000003</v>
      </c>
      <c r="M59" s="2">
        <v>1272.7132999999999</v>
      </c>
      <c r="N59" s="2">
        <v>0.93759999999999999</v>
      </c>
      <c r="O59" s="2">
        <v>43.3733</v>
      </c>
      <c r="P59" s="2">
        <v>195.661</v>
      </c>
      <c r="Q59" s="2">
        <v>-250.81469999999999</v>
      </c>
      <c r="R59" s="2">
        <v>118.91119999999999</v>
      </c>
      <c r="S59" s="2">
        <v>3344.8777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">
      <c r="A60" s="3"/>
      <c r="B60" s="4" t="s">
        <v>69</v>
      </c>
      <c r="C60" s="3" t="s">
        <v>42</v>
      </c>
      <c r="D60" s="3" t="s">
        <v>43</v>
      </c>
      <c r="E60" s="3" t="s">
        <v>42</v>
      </c>
      <c r="F60" s="3" t="s">
        <v>45</v>
      </c>
      <c r="G60" s="2">
        <v>1</v>
      </c>
      <c r="H60" s="2">
        <v>0.96599999999999997</v>
      </c>
      <c r="I60" s="2">
        <v>27.033200000000001</v>
      </c>
      <c r="J60" s="2">
        <v>852.39599999999996</v>
      </c>
      <c r="K60" s="2">
        <v>76.900000000000006</v>
      </c>
      <c r="L60" s="2">
        <v>843.98239999999998</v>
      </c>
      <c r="M60" s="2">
        <v>1272.7132999999999</v>
      </c>
      <c r="N60" s="2">
        <v>0.99719999999999998</v>
      </c>
      <c r="O60" s="2">
        <v>8.5145</v>
      </c>
      <c r="P60" s="2">
        <v>133.84440000000001</v>
      </c>
      <c r="Q60" s="2">
        <v>-250.81469999999999</v>
      </c>
      <c r="R60" s="2">
        <v>148.1173</v>
      </c>
      <c r="S60" s="2">
        <v>3343.3883999999998</v>
      </c>
      <c r="T60" s="2">
        <v>0.99560000000000004</v>
      </c>
      <c r="U60" s="2">
        <v>0.6552</v>
      </c>
      <c r="V60" s="2">
        <v>141.84690000000001</v>
      </c>
      <c r="W60" s="2">
        <v>4.5911999999999997</v>
      </c>
      <c r="X60" s="2">
        <v>35.115600000000001</v>
      </c>
      <c r="Y60" s="2">
        <v>263.39999999999998</v>
      </c>
      <c r="Z60" s="2">
        <v>0.74829999999999997</v>
      </c>
      <c r="AA60" s="2">
        <v>0.33700000000000002</v>
      </c>
      <c r="AB60" s="2">
        <v>166.6482</v>
      </c>
      <c r="AC60" s="2">
        <v>-14.7</v>
      </c>
      <c r="AD60" s="2">
        <v>1.4655</v>
      </c>
      <c r="AE60" s="2">
        <v>182.6482</v>
      </c>
      <c r="AF60" s="2">
        <v>0.99909999999999999</v>
      </c>
      <c r="AG60" s="2">
        <v>0.82350000000000001</v>
      </c>
      <c r="AH60" s="2">
        <v>22.672999999999998</v>
      </c>
      <c r="AI60" s="2">
        <v>4.7864000000000004</v>
      </c>
      <c r="AJ60" s="2">
        <v>43.7483</v>
      </c>
      <c r="AK60" s="2">
        <v>339.96129999999999</v>
      </c>
      <c r="AL60" s="2">
        <v>0.99160000000000004</v>
      </c>
      <c r="AM60" s="2">
        <v>2.0581999999999998</v>
      </c>
      <c r="AN60" s="2">
        <v>82.596500000000006</v>
      </c>
      <c r="AO60" s="2">
        <v>3.9958999999999998</v>
      </c>
      <c r="AP60" s="2">
        <v>45.353999999999999</v>
      </c>
      <c r="AQ60" s="2">
        <v>568.99490000000003</v>
      </c>
    </row>
    <row r="61" spans="1:43" x14ac:dyDescent="0.2">
      <c r="A61" s="3"/>
      <c r="B61" s="5"/>
      <c r="C61" s="3"/>
      <c r="D61" s="3"/>
      <c r="E61" s="3"/>
      <c r="F61" s="3"/>
      <c r="G61" s="2">
        <v>2</v>
      </c>
      <c r="H61" s="2">
        <v>0.89839999999999998</v>
      </c>
      <c r="I61" s="2">
        <v>30.850999999999999</v>
      </c>
      <c r="J61" s="2">
        <v>95.583399999999997</v>
      </c>
      <c r="K61" s="2">
        <v>300.7</v>
      </c>
      <c r="L61" s="2">
        <v>856.15120000000002</v>
      </c>
      <c r="M61" s="2">
        <v>1063.6101000000001</v>
      </c>
      <c r="N61" s="2">
        <v>0.98809999999999998</v>
      </c>
      <c r="O61" s="2">
        <v>9.4840999999999998</v>
      </c>
      <c r="P61" s="2">
        <v>71.880700000000004</v>
      </c>
      <c r="Q61" s="2">
        <v>-39.047699999999999</v>
      </c>
      <c r="R61" s="2">
        <v>141.4777</v>
      </c>
      <c r="S61" s="2">
        <v>999.18830000000003</v>
      </c>
      <c r="T61" s="2">
        <v>0.95569999999999999</v>
      </c>
      <c r="U61" s="2">
        <v>4.5430000000000001</v>
      </c>
      <c r="V61" s="2">
        <v>59.617699999999999</v>
      </c>
      <c r="W61" s="2">
        <v>5.6866000000000003</v>
      </c>
      <c r="X61" s="2">
        <v>41.340400000000002</v>
      </c>
      <c r="Y61" s="2">
        <v>220.1</v>
      </c>
      <c r="Z61" s="2">
        <v>-4.6699999999999998E-2</v>
      </c>
      <c r="AA61" s="2">
        <v>2.1682000000000001</v>
      </c>
      <c r="AB61" s="2">
        <v>68.694199999999995</v>
      </c>
      <c r="AC61" s="2">
        <v>-7.4</v>
      </c>
      <c r="AD61" s="2">
        <v>1.7961</v>
      </c>
      <c r="AE61" s="2">
        <v>104.50790000000001</v>
      </c>
      <c r="AF61" s="2">
        <v>0.93200000000000005</v>
      </c>
      <c r="AG61" s="2">
        <v>8.6783999999999999</v>
      </c>
      <c r="AH61" s="2">
        <v>77.224599999999995</v>
      </c>
      <c r="AI61" s="2">
        <v>4.8</v>
      </c>
      <c r="AJ61" s="2">
        <v>54.287100000000002</v>
      </c>
      <c r="AK61" s="2">
        <v>334.0754</v>
      </c>
      <c r="AL61" s="2">
        <v>0.77949999999999997</v>
      </c>
      <c r="AM61" s="2">
        <v>13.696199999999999</v>
      </c>
      <c r="AN61" s="2">
        <v>200.1199</v>
      </c>
      <c r="AO61" s="2">
        <v>4</v>
      </c>
      <c r="AP61" s="2">
        <v>54.776400000000002</v>
      </c>
      <c r="AQ61" s="2">
        <v>434</v>
      </c>
    </row>
    <row r="62" spans="1:43" x14ac:dyDescent="0.2">
      <c r="A62" s="3"/>
      <c r="B62" s="6"/>
      <c r="C62" s="3"/>
      <c r="D62" s="3"/>
      <c r="E62" s="3"/>
      <c r="F62" s="3"/>
      <c r="G62" s="2" t="s">
        <v>47</v>
      </c>
      <c r="H62" s="2">
        <v>0.96279999999999999</v>
      </c>
      <c r="I62" s="2">
        <v>27.594999999999999</v>
      </c>
      <c r="J62" s="2">
        <v>852.39599999999996</v>
      </c>
      <c r="K62" s="2">
        <v>76.900000000000006</v>
      </c>
      <c r="L62" s="2">
        <v>890.06119999999999</v>
      </c>
      <c r="M62" s="2">
        <v>1272.7132999999999</v>
      </c>
      <c r="N62" s="2">
        <v>0.99580000000000002</v>
      </c>
      <c r="O62" s="2">
        <v>9.6603999999999992</v>
      </c>
      <c r="P62" s="2">
        <v>133.84440000000001</v>
      </c>
      <c r="Q62" s="2">
        <v>-250.81469999999999</v>
      </c>
      <c r="R62" s="2">
        <v>101.2303</v>
      </c>
      <c r="S62" s="2">
        <v>3343.3883999999998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">
      <c r="A63" s="3"/>
      <c r="B63" s="4" t="s">
        <v>66</v>
      </c>
      <c r="C63" s="3" t="s">
        <v>42</v>
      </c>
      <c r="D63" s="3" t="s">
        <v>43</v>
      </c>
      <c r="E63" s="3" t="s">
        <v>44</v>
      </c>
      <c r="F63" s="3" t="s">
        <v>45</v>
      </c>
      <c r="G63" s="2">
        <v>1</v>
      </c>
      <c r="H63" s="2">
        <v>0.91910000000000003</v>
      </c>
      <c r="I63" s="2">
        <v>45.539200000000001</v>
      </c>
      <c r="J63" s="2">
        <v>859.58929999999998</v>
      </c>
      <c r="K63" s="2">
        <v>76.7316</v>
      </c>
      <c r="L63" s="2">
        <v>769.42809999999997</v>
      </c>
      <c r="M63" s="2">
        <v>1137.9000000000001</v>
      </c>
      <c r="N63" s="2">
        <v>0.96679999999999999</v>
      </c>
      <c r="O63" s="2">
        <v>35.618699999999997</v>
      </c>
      <c r="P63" s="2">
        <v>217.33940000000001</v>
      </c>
      <c r="Q63" s="2">
        <v>-111.11</v>
      </c>
      <c r="R63" s="2">
        <v>209.566</v>
      </c>
      <c r="S63" s="2">
        <v>3344.8777</v>
      </c>
      <c r="T63" s="2">
        <v>0.97540000000000004</v>
      </c>
      <c r="U63" s="2">
        <v>2.7582</v>
      </c>
      <c r="V63" s="2">
        <v>112.1758</v>
      </c>
      <c r="W63" s="2">
        <v>5.2160000000000002</v>
      </c>
      <c r="X63" s="2">
        <v>40.017600000000002</v>
      </c>
      <c r="Y63" s="2">
        <v>246.8</v>
      </c>
      <c r="Z63" s="2">
        <v>-6.1899999999999997E-2</v>
      </c>
      <c r="AA63" s="2">
        <v>1.6176999999999999</v>
      </c>
      <c r="AB63" s="2">
        <v>246.99889999999999</v>
      </c>
      <c r="AC63" s="2">
        <v>-14.7</v>
      </c>
      <c r="AD63" s="2">
        <v>1.1508</v>
      </c>
      <c r="AE63" s="2">
        <v>270.59890000000001</v>
      </c>
      <c r="AF63" s="2">
        <v>0.97160000000000002</v>
      </c>
      <c r="AG63" s="2">
        <v>5.0537999999999998</v>
      </c>
      <c r="AH63" s="2">
        <v>128.9494</v>
      </c>
      <c r="AI63" s="2">
        <v>4.8330000000000002</v>
      </c>
      <c r="AJ63" s="2">
        <v>50.553600000000003</v>
      </c>
      <c r="AK63" s="2">
        <v>357.298</v>
      </c>
      <c r="AL63" s="2">
        <v>0.96589999999999998</v>
      </c>
      <c r="AM63" s="2">
        <v>5.7356999999999996</v>
      </c>
      <c r="AN63" s="2">
        <v>195.74270000000001</v>
      </c>
      <c r="AO63" s="2">
        <v>3.9940000000000002</v>
      </c>
      <c r="AP63" s="2">
        <v>51.308399999999999</v>
      </c>
      <c r="AQ63" s="2">
        <v>557.78610000000003</v>
      </c>
    </row>
    <row r="64" spans="1:43" x14ac:dyDescent="0.2">
      <c r="A64" s="3"/>
      <c r="B64" s="5"/>
      <c r="C64" s="3"/>
      <c r="D64" s="3"/>
      <c r="E64" s="3"/>
      <c r="F64" s="3"/>
      <c r="G64" s="2">
        <v>2</v>
      </c>
      <c r="H64" s="2">
        <v>0.71430000000000005</v>
      </c>
      <c r="I64" s="2">
        <v>50.134500000000003</v>
      </c>
      <c r="J64" s="2">
        <v>132.78440000000001</v>
      </c>
      <c r="K64" s="2">
        <v>247.947</v>
      </c>
      <c r="L64" s="2">
        <v>813.70219999999995</v>
      </c>
      <c r="M64" s="2">
        <v>997.1</v>
      </c>
      <c r="N64" s="2">
        <v>0.87260000000000004</v>
      </c>
      <c r="O64" s="2">
        <v>41.877600000000001</v>
      </c>
      <c r="P64" s="2">
        <v>117.6998</v>
      </c>
      <c r="Q64" s="2">
        <v>-18.3</v>
      </c>
      <c r="R64" s="2">
        <v>168.95060000000001</v>
      </c>
      <c r="S64" s="2">
        <v>3196.8606</v>
      </c>
      <c r="T64" s="2">
        <v>0.90700000000000003</v>
      </c>
      <c r="U64" s="2">
        <v>6.1303999999999998</v>
      </c>
      <c r="V64" s="2">
        <v>92.794399999999996</v>
      </c>
      <c r="W64" s="2">
        <v>5.2160000000000002</v>
      </c>
      <c r="X64" s="2">
        <v>41.690899999999999</v>
      </c>
      <c r="Y64" s="2">
        <v>221.5</v>
      </c>
      <c r="Z64" s="2">
        <v>-0.51329999999999998</v>
      </c>
      <c r="AA64" s="2">
        <v>3.5160999999999998</v>
      </c>
      <c r="AB64" s="2">
        <v>81.201899999999995</v>
      </c>
      <c r="AC64" s="2">
        <v>-9.7513000000000005</v>
      </c>
      <c r="AD64" s="2">
        <v>1.0101</v>
      </c>
      <c r="AE64" s="2">
        <v>83.633799999999994</v>
      </c>
      <c r="AF64" s="2">
        <v>0.90810000000000002</v>
      </c>
      <c r="AG64" s="2">
        <v>9.8591999999999995</v>
      </c>
      <c r="AH64" s="2">
        <v>133.06370000000001</v>
      </c>
      <c r="AI64" s="2">
        <v>4.8</v>
      </c>
      <c r="AJ64" s="2">
        <v>53.9221</v>
      </c>
      <c r="AK64" s="2">
        <v>313.20359999999999</v>
      </c>
      <c r="AL64" s="2">
        <v>0.73960000000000004</v>
      </c>
      <c r="AM64" s="2">
        <v>14.9771</v>
      </c>
      <c r="AN64" s="2">
        <v>224.8143</v>
      </c>
      <c r="AO64" s="2">
        <v>4</v>
      </c>
      <c r="AP64" s="2">
        <v>53.746600000000001</v>
      </c>
      <c r="AQ64" s="2">
        <v>434</v>
      </c>
    </row>
    <row r="65" spans="1:43" x14ac:dyDescent="0.2">
      <c r="A65" s="3"/>
      <c r="B65" s="6"/>
      <c r="C65" s="3"/>
      <c r="D65" s="3"/>
      <c r="E65" s="3"/>
      <c r="F65" s="3"/>
      <c r="G65" s="2" t="s">
        <v>47</v>
      </c>
      <c r="H65" s="2">
        <v>0.90339999999999998</v>
      </c>
      <c r="I65" s="2">
        <v>46.3384</v>
      </c>
      <c r="J65" s="2">
        <v>859.58929999999998</v>
      </c>
      <c r="K65" s="2">
        <v>76.7316</v>
      </c>
      <c r="L65" s="2">
        <v>853.67589999999996</v>
      </c>
      <c r="M65" s="2">
        <v>1235.0999999999999</v>
      </c>
      <c r="N65" s="2">
        <v>0.95299999999999996</v>
      </c>
      <c r="O65" s="2">
        <v>36.4452</v>
      </c>
      <c r="P65" s="2">
        <v>217.33940000000001</v>
      </c>
      <c r="Q65" s="2">
        <v>-224.17</v>
      </c>
      <c r="R65" s="2">
        <v>122.6293</v>
      </c>
      <c r="S65" s="2">
        <v>3344.8777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">
      <c r="A66" s="3"/>
      <c r="B66" s="4" t="s">
        <v>67</v>
      </c>
      <c r="C66" s="3" t="s">
        <v>42</v>
      </c>
      <c r="D66" s="3" t="s">
        <v>43</v>
      </c>
      <c r="E66" s="3" t="s">
        <v>44</v>
      </c>
      <c r="F66" s="3" t="s">
        <v>43</v>
      </c>
      <c r="G66" s="2">
        <v>1</v>
      </c>
      <c r="H66" s="2">
        <v>0.9264</v>
      </c>
      <c r="I66" s="2">
        <v>45.530200000000001</v>
      </c>
      <c r="J66" s="2">
        <v>171.4</v>
      </c>
      <c r="K66" s="2">
        <v>76.900000000000006</v>
      </c>
      <c r="L66" s="2">
        <v>769.15049999999997</v>
      </c>
      <c r="M66" s="2">
        <v>1137.9000000000001</v>
      </c>
      <c r="N66" s="2">
        <v>0.96960000000000002</v>
      </c>
      <c r="O66" s="2">
        <v>33.543900000000001</v>
      </c>
      <c r="P66" s="2">
        <v>137.96</v>
      </c>
      <c r="Q66" s="2">
        <v>-112.3</v>
      </c>
      <c r="R66" s="2">
        <v>209.422</v>
      </c>
      <c r="S66" s="2">
        <v>3346.07</v>
      </c>
      <c r="T66" s="2">
        <v>0.97460000000000002</v>
      </c>
      <c r="U66" s="2">
        <v>2.7725</v>
      </c>
      <c r="V66" s="2">
        <v>107.7</v>
      </c>
      <c r="W66" s="2">
        <v>5.3</v>
      </c>
      <c r="X66" s="2">
        <v>40.201099999999997</v>
      </c>
      <c r="Y66" s="2">
        <v>246.8</v>
      </c>
      <c r="Z66" s="2">
        <v>0.1012</v>
      </c>
      <c r="AA66" s="2">
        <v>1.7254</v>
      </c>
      <c r="AB66" s="2">
        <v>77.099999999999994</v>
      </c>
      <c r="AC66" s="2">
        <v>-19.399999999999999</v>
      </c>
      <c r="AD66" s="2">
        <v>0.93859999999999999</v>
      </c>
      <c r="AE66" s="2">
        <v>83.4</v>
      </c>
      <c r="AF66" s="2">
        <v>0.97099999999999997</v>
      </c>
      <c r="AG66" s="2">
        <v>5.1292999999999997</v>
      </c>
      <c r="AH66" s="2">
        <v>129.1</v>
      </c>
      <c r="AI66" s="2">
        <v>4.7</v>
      </c>
      <c r="AJ66" s="2">
        <v>50.311999999999998</v>
      </c>
      <c r="AK66" s="2">
        <v>356.8</v>
      </c>
      <c r="AL66" s="2">
        <v>0.96299999999999997</v>
      </c>
      <c r="AM66" s="2">
        <v>5.6505999999999998</v>
      </c>
      <c r="AN66" s="2">
        <v>171.5</v>
      </c>
      <c r="AO66" s="2">
        <v>4</v>
      </c>
      <c r="AP66" s="2">
        <v>50.346899999999998</v>
      </c>
      <c r="AQ66" s="2">
        <v>494.8</v>
      </c>
    </row>
    <row r="67" spans="1:43" x14ac:dyDescent="0.2">
      <c r="A67" s="3"/>
      <c r="B67" s="5"/>
      <c r="C67" s="3"/>
      <c r="D67" s="3"/>
      <c r="E67" s="3"/>
      <c r="F67" s="3"/>
      <c r="G67" s="2">
        <v>2</v>
      </c>
      <c r="H67" s="2">
        <v>0.63759999999999994</v>
      </c>
      <c r="I67" s="2">
        <v>50.495699999999999</v>
      </c>
      <c r="J67" s="2">
        <v>171.8</v>
      </c>
      <c r="K67" s="2">
        <v>251.1</v>
      </c>
      <c r="L67" s="2">
        <v>809.27650000000006</v>
      </c>
      <c r="M67" s="2">
        <v>1003.9</v>
      </c>
      <c r="N67" s="2">
        <v>0.89419999999999999</v>
      </c>
      <c r="O67" s="2">
        <v>40.418199999999999</v>
      </c>
      <c r="P67" s="2">
        <v>160.6001</v>
      </c>
      <c r="Q67" s="2">
        <v>5.55</v>
      </c>
      <c r="R67" s="2">
        <v>167.83529999999999</v>
      </c>
      <c r="S67" s="2">
        <v>3196.95</v>
      </c>
      <c r="T67" s="2">
        <v>0.91320000000000001</v>
      </c>
      <c r="U67" s="2">
        <v>5.9008000000000003</v>
      </c>
      <c r="V67" s="2">
        <v>118.4</v>
      </c>
      <c r="W67" s="2">
        <v>5.3</v>
      </c>
      <c r="X67" s="2">
        <v>41.1539</v>
      </c>
      <c r="Y67" s="2">
        <v>220.2</v>
      </c>
      <c r="Z67" s="2">
        <v>-0.44330000000000003</v>
      </c>
      <c r="AA67" s="2">
        <v>4.1539999999999999</v>
      </c>
      <c r="AB67" s="2">
        <v>65.3</v>
      </c>
      <c r="AC67" s="2">
        <v>-17.899999999999999</v>
      </c>
      <c r="AD67" s="2">
        <v>0.91500000000000004</v>
      </c>
      <c r="AE67" s="2">
        <v>61.6</v>
      </c>
      <c r="AF67" s="2">
        <v>0.90880000000000005</v>
      </c>
      <c r="AG67" s="2">
        <v>9.5769000000000002</v>
      </c>
      <c r="AH67" s="2">
        <v>165.1</v>
      </c>
      <c r="AI67" s="2">
        <v>4.8</v>
      </c>
      <c r="AJ67" s="2">
        <v>52.153599999999997</v>
      </c>
      <c r="AK67" s="2">
        <v>326.39999999999998</v>
      </c>
      <c r="AL67" s="2">
        <v>0.79059999999999997</v>
      </c>
      <c r="AM67" s="2">
        <v>13.3711</v>
      </c>
      <c r="AN67" s="2">
        <v>220.5</v>
      </c>
      <c r="AO67" s="2">
        <v>4</v>
      </c>
      <c r="AP67" s="2">
        <v>51.074100000000001</v>
      </c>
      <c r="AQ67" s="2">
        <v>434</v>
      </c>
    </row>
    <row r="68" spans="1:43" x14ac:dyDescent="0.2">
      <c r="A68" s="3"/>
      <c r="B68" s="6"/>
      <c r="C68" s="3"/>
      <c r="D68" s="3"/>
      <c r="E68" s="3"/>
      <c r="F68" s="3"/>
      <c r="G68" s="2" t="s">
        <v>47</v>
      </c>
      <c r="H68" s="2">
        <v>0.90269999999999995</v>
      </c>
      <c r="I68" s="2">
        <v>47.881399999999999</v>
      </c>
      <c r="J68" s="2">
        <v>193.4</v>
      </c>
      <c r="K68" s="2">
        <v>76.900000000000006</v>
      </c>
      <c r="L68" s="2">
        <v>852.6857</v>
      </c>
      <c r="M68" s="2">
        <v>1235.0999999999999</v>
      </c>
      <c r="N68" s="2">
        <v>0.95389999999999997</v>
      </c>
      <c r="O68" s="2">
        <v>36.281999999999996</v>
      </c>
      <c r="P68" s="2">
        <v>168.6</v>
      </c>
      <c r="Q68" s="2">
        <v>-224.17</v>
      </c>
      <c r="R68" s="2">
        <v>122.791</v>
      </c>
      <c r="S68" s="2">
        <v>3346.07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">
      <c r="A69" s="3"/>
      <c r="B69" s="4" t="s">
        <v>66</v>
      </c>
      <c r="C69" s="3" t="s">
        <v>44</v>
      </c>
      <c r="D69" s="3" t="s">
        <v>45</v>
      </c>
      <c r="E69" s="3" t="s">
        <v>42</v>
      </c>
      <c r="F69" s="3" t="s">
        <v>43</v>
      </c>
      <c r="G69" s="2">
        <v>1</v>
      </c>
      <c r="H69" s="2">
        <v>0.90769999999999995</v>
      </c>
      <c r="I69" s="2">
        <v>45.539200000000001</v>
      </c>
      <c r="J69" s="2">
        <v>859.58929999999998</v>
      </c>
      <c r="K69" s="2">
        <v>76.7316</v>
      </c>
      <c r="L69" s="2">
        <v>769.42809999999997</v>
      </c>
      <c r="M69" s="2">
        <v>1137.9000000000001</v>
      </c>
      <c r="N69" s="2">
        <v>0.96450000000000002</v>
      </c>
      <c r="O69" s="2">
        <v>35.618699999999997</v>
      </c>
      <c r="P69" s="2">
        <v>217.33940000000001</v>
      </c>
      <c r="Q69" s="2">
        <v>-111.11</v>
      </c>
      <c r="R69" s="2">
        <v>209.566</v>
      </c>
      <c r="S69" s="2">
        <v>3344.8777</v>
      </c>
      <c r="T69" s="2">
        <v>0.97130000000000005</v>
      </c>
      <c r="U69" s="2">
        <v>2.7582</v>
      </c>
      <c r="V69" s="2">
        <v>112.1758</v>
      </c>
      <c r="W69" s="2">
        <v>5.2160000000000002</v>
      </c>
      <c r="X69" s="2">
        <v>40.017600000000002</v>
      </c>
      <c r="Y69" s="2">
        <v>246.8</v>
      </c>
      <c r="Z69" s="2">
        <v>-0.49559999999999998</v>
      </c>
      <c r="AA69" s="2">
        <v>1.6176999999999999</v>
      </c>
      <c r="AB69" s="2">
        <v>246.99889999999999</v>
      </c>
      <c r="AC69" s="2">
        <v>-14.7</v>
      </c>
      <c r="AD69" s="2">
        <v>1.1508</v>
      </c>
      <c r="AE69" s="2">
        <v>270.59890000000001</v>
      </c>
      <c r="AF69" s="2">
        <v>0.96519999999999995</v>
      </c>
      <c r="AG69" s="2">
        <v>5.0537999999999998</v>
      </c>
      <c r="AH69" s="2">
        <v>128.9494</v>
      </c>
      <c r="AI69" s="2">
        <v>4.8330000000000002</v>
      </c>
      <c r="AJ69" s="2">
        <v>50.553600000000003</v>
      </c>
      <c r="AK69" s="2">
        <v>357.298</v>
      </c>
      <c r="AL69" s="2">
        <v>0.96030000000000004</v>
      </c>
      <c r="AM69" s="2">
        <v>5.7356999999999996</v>
      </c>
      <c r="AN69" s="2">
        <v>195.74270000000001</v>
      </c>
      <c r="AO69" s="2">
        <v>3.9940000000000002</v>
      </c>
      <c r="AP69" s="2">
        <v>51.308399999999999</v>
      </c>
      <c r="AQ69" s="2">
        <v>557.78610000000003</v>
      </c>
    </row>
    <row r="70" spans="1:43" x14ac:dyDescent="0.2">
      <c r="A70" s="3"/>
      <c r="B70" s="5"/>
      <c r="C70" s="3"/>
      <c r="D70" s="3"/>
      <c r="E70" s="3"/>
      <c r="F70" s="3"/>
      <c r="G70" s="2">
        <v>2</v>
      </c>
      <c r="H70" s="2">
        <v>0.65920000000000001</v>
      </c>
      <c r="I70" s="2">
        <v>50.134500000000003</v>
      </c>
      <c r="J70" s="2">
        <v>132.78440000000001</v>
      </c>
      <c r="K70" s="2">
        <v>247.947</v>
      </c>
      <c r="L70" s="2">
        <v>813.70219999999995</v>
      </c>
      <c r="M70" s="2">
        <v>997.1</v>
      </c>
      <c r="N70" s="2">
        <v>0.86539999999999995</v>
      </c>
      <c r="O70" s="2">
        <v>41.877600000000001</v>
      </c>
      <c r="P70" s="2">
        <v>117.6998</v>
      </c>
      <c r="Q70" s="2">
        <v>-18.3</v>
      </c>
      <c r="R70" s="2">
        <v>168.95060000000001</v>
      </c>
      <c r="S70" s="2">
        <v>3196.8606</v>
      </c>
      <c r="T70" s="2">
        <v>0.88</v>
      </c>
      <c r="U70" s="2">
        <v>6.1303999999999998</v>
      </c>
      <c r="V70" s="2">
        <v>92.794399999999996</v>
      </c>
      <c r="W70" s="2">
        <v>5.2160000000000002</v>
      </c>
      <c r="X70" s="2">
        <v>41.690899999999999</v>
      </c>
      <c r="Y70" s="2">
        <v>221.5</v>
      </c>
      <c r="Z70" s="2">
        <v>-4.0986000000000002</v>
      </c>
      <c r="AA70" s="2">
        <v>3.5160999999999998</v>
      </c>
      <c r="AB70" s="2">
        <v>81.201899999999995</v>
      </c>
      <c r="AC70" s="2">
        <v>-9.7513000000000005</v>
      </c>
      <c r="AD70" s="2">
        <v>1.0101</v>
      </c>
      <c r="AE70" s="2">
        <v>83.633799999999994</v>
      </c>
      <c r="AF70" s="2">
        <v>0.90239999999999998</v>
      </c>
      <c r="AG70" s="2">
        <v>9.8591999999999995</v>
      </c>
      <c r="AH70" s="2">
        <v>133.06370000000001</v>
      </c>
      <c r="AI70" s="2">
        <v>4.8</v>
      </c>
      <c r="AJ70" s="2">
        <v>53.9221</v>
      </c>
      <c r="AK70" s="2">
        <v>313.20359999999999</v>
      </c>
      <c r="AL70" s="2">
        <v>0.69789999999999996</v>
      </c>
      <c r="AM70" s="2">
        <v>14.9771</v>
      </c>
      <c r="AN70" s="2">
        <v>224.8143</v>
      </c>
      <c r="AO70" s="2">
        <v>4</v>
      </c>
      <c r="AP70" s="2">
        <v>53.746600000000001</v>
      </c>
      <c r="AQ70" s="2">
        <v>434</v>
      </c>
    </row>
    <row r="71" spans="1:43" x14ac:dyDescent="0.2">
      <c r="A71" s="3"/>
      <c r="B71" s="6"/>
      <c r="C71" s="3"/>
      <c r="D71" s="3"/>
      <c r="E71" s="3"/>
      <c r="F71" s="3"/>
      <c r="G71" s="2" t="s">
        <v>47</v>
      </c>
      <c r="H71" s="2">
        <v>0.89480000000000004</v>
      </c>
      <c r="I71" s="2">
        <v>46.3384</v>
      </c>
      <c r="J71" s="2">
        <v>859.58929999999998</v>
      </c>
      <c r="K71" s="2">
        <v>76.7316</v>
      </c>
      <c r="L71" s="2">
        <v>853.67589999999996</v>
      </c>
      <c r="M71" s="2">
        <v>1235.0999999999999</v>
      </c>
      <c r="N71" s="2">
        <v>0.95079999999999998</v>
      </c>
      <c r="O71" s="2">
        <v>36.4452</v>
      </c>
      <c r="P71" s="2">
        <v>217.33940000000001</v>
      </c>
      <c r="Q71" s="2">
        <v>-224.17</v>
      </c>
      <c r="R71" s="2">
        <v>122.6293</v>
      </c>
      <c r="S71" s="2">
        <v>3344.8777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">
      <c r="A72" s="3"/>
      <c r="B72" s="4" t="s">
        <v>71</v>
      </c>
      <c r="C72" s="3" t="s">
        <v>44</v>
      </c>
      <c r="D72" s="3" t="s">
        <v>43</v>
      </c>
      <c r="E72" s="3" t="s">
        <v>44</v>
      </c>
      <c r="F72" s="3" t="s">
        <v>45</v>
      </c>
      <c r="G72" s="2">
        <v>1</v>
      </c>
      <c r="H72" s="2">
        <v>0.99139999999999995</v>
      </c>
      <c r="I72" s="2">
        <v>4.0143000000000004</v>
      </c>
      <c r="J72" s="2">
        <v>851.76390000000004</v>
      </c>
      <c r="K72" s="2">
        <v>76.7316</v>
      </c>
      <c r="L72" s="2">
        <v>796.51649999999995</v>
      </c>
      <c r="M72" s="2">
        <v>1165.7802999999999</v>
      </c>
      <c r="N72" s="2">
        <v>0.99870000000000003</v>
      </c>
      <c r="O72" s="2">
        <v>4.5077999999999996</v>
      </c>
      <c r="P72" s="2">
        <v>143.869</v>
      </c>
      <c r="Q72" s="2">
        <v>-153.20609999999999</v>
      </c>
      <c r="R72" s="2">
        <v>172.8409</v>
      </c>
      <c r="S72" s="2">
        <v>3346.07</v>
      </c>
      <c r="T72" s="2">
        <v>0.99319999999999997</v>
      </c>
      <c r="U72" s="2">
        <v>0.66</v>
      </c>
      <c r="V72" s="2">
        <v>135.982</v>
      </c>
      <c r="W72" s="2">
        <v>4.2</v>
      </c>
      <c r="X72" s="2">
        <v>32.786799999999999</v>
      </c>
      <c r="Y72" s="2">
        <v>239.6</v>
      </c>
      <c r="Z72" s="2">
        <v>-3.4302000000000001</v>
      </c>
      <c r="AA72" s="2">
        <v>0.59179999999999999</v>
      </c>
      <c r="AB72" s="2">
        <v>240.59889999999999</v>
      </c>
      <c r="AC72" s="2">
        <v>-19.399999999999999</v>
      </c>
      <c r="AD72" s="2">
        <v>0.43959999999999999</v>
      </c>
      <c r="AE72" s="2">
        <v>270.59890000000001</v>
      </c>
      <c r="AF72" s="2">
        <v>0.99970000000000003</v>
      </c>
      <c r="AG72" s="2">
        <v>0.36399999999999999</v>
      </c>
      <c r="AH72" s="2">
        <v>32.7577</v>
      </c>
      <c r="AI72" s="2">
        <v>4.2579000000000002</v>
      </c>
      <c r="AJ72" s="2">
        <v>37.928699999999999</v>
      </c>
      <c r="AK72" s="2">
        <v>357.298</v>
      </c>
      <c r="AL72" s="2">
        <v>0.98919999999999997</v>
      </c>
      <c r="AM72" s="2">
        <v>1.8317000000000001</v>
      </c>
      <c r="AN72" s="2">
        <v>219.79259999999999</v>
      </c>
      <c r="AO72" s="2">
        <v>3.2639999999999998</v>
      </c>
      <c r="AP72" s="2">
        <v>39.191800000000001</v>
      </c>
      <c r="AQ72" s="2">
        <v>614.68039999999996</v>
      </c>
    </row>
    <row r="73" spans="1:43" x14ac:dyDescent="0.2">
      <c r="A73" s="3"/>
      <c r="B73" s="5"/>
      <c r="C73" s="3"/>
      <c r="D73" s="3"/>
      <c r="E73" s="3"/>
      <c r="F73" s="3"/>
      <c r="G73" s="2">
        <v>2</v>
      </c>
      <c r="H73" s="2">
        <v>0.99690000000000001</v>
      </c>
      <c r="I73" s="2">
        <v>4.1882000000000001</v>
      </c>
      <c r="J73" s="2">
        <v>47.340499999999999</v>
      </c>
      <c r="K73" s="2">
        <v>222.08840000000001</v>
      </c>
      <c r="L73" s="2">
        <v>815.35339999999997</v>
      </c>
      <c r="M73" s="2">
        <v>1025.2578000000001</v>
      </c>
      <c r="N73" s="2">
        <v>0.99760000000000004</v>
      </c>
      <c r="O73" s="2">
        <v>4.4894999999999996</v>
      </c>
      <c r="P73" s="2">
        <v>44.813099999999999</v>
      </c>
      <c r="Q73" s="2">
        <v>-16.9634</v>
      </c>
      <c r="R73" s="2">
        <v>148.18510000000001</v>
      </c>
      <c r="S73" s="2">
        <v>3224.57</v>
      </c>
      <c r="T73" s="2">
        <v>0.96389999999999998</v>
      </c>
      <c r="U73" s="2">
        <v>3.5743999999999998</v>
      </c>
      <c r="V73" s="2">
        <v>110.8222</v>
      </c>
      <c r="W73" s="2">
        <v>6.1864999999999997</v>
      </c>
      <c r="X73" s="2">
        <v>37.554900000000004</v>
      </c>
      <c r="Y73" s="2">
        <v>222.9</v>
      </c>
      <c r="Z73" s="2">
        <v>-7.2420999999999998</v>
      </c>
      <c r="AA73" s="2">
        <v>2.0019999999999998</v>
      </c>
      <c r="AB73" s="2">
        <v>128.14869999999999</v>
      </c>
      <c r="AC73" s="2">
        <v>-17.899999999999999</v>
      </c>
      <c r="AD73" s="2">
        <v>0.24959999999999999</v>
      </c>
      <c r="AE73" s="2">
        <v>128.14869999999999</v>
      </c>
      <c r="AF73" s="2">
        <v>0.93600000000000005</v>
      </c>
      <c r="AG73" s="2">
        <v>6.8935000000000004</v>
      </c>
      <c r="AH73" s="2">
        <v>86.742500000000007</v>
      </c>
      <c r="AI73" s="2">
        <v>4.7</v>
      </c>
      <c r="AJ73" s="2">
        <v>45.559800000000003</v>
      </c>
      <c r="AK73" s="2">
        <v>313.20359999999999</v>
      </c>
      <c r="AL73" s="2">
        <v>0.85250000000000004</v>
      </c>
      <c r="AM73" s="2">
        <v>9.3521999999999998</v>
      </c>
      <c r="AN73" s="2">
        <v>136.1524</v>
      </c>
      <c r="AO73" s="2">
        <v>4.0951000000000004</v>
      </c>
      <c r="AP73" s="2">
        <v>44.954700000000003</v>
      </c>
      <c r="AQ73" s="2">
        <v>313.20359999999999</v>
      </c>
    </row>
    <row r="74" spans="1:43" x14ac:dyDescent="0.2">
      <c r="A74" s="3"/>
      <c r="B74" s="6"/>
      <c r="C74" s="3"/>
      <c r="D74" s="3"/>
      <c r="E74" s="3"/>
      <c r="F74" s="3"/>
      <c r="G74" s="2" t="s">
        <v>47</v>
      </c>
      <c r="H74" s="2">
        <v>0.99229999999999996</v>
      </c>
      <c r="I74" s="2">
        <v>4.6094999999999997</v>
      </c>
      <c r="J74" s="2">
        <v>851.76390000000004</v>
      </c>
      <c r="K74" s="2">
        <v>76.7316</v>
      </c>
      <c r="L74" s="2">
        <v>829.84540000000004</v>
      </c>
      <c r="M74" s="2">
        <v>1186.1079999999999</v>
      </c>
      <c r="N74" s="2">
        <v>0.99839999999999995</v>
      </c>
      <c r="O74" s="2">
        <v>4.7115</v>
      </c>
      <c r="P74" s="2">
        <v>143.869</v>
      </c>
      <c r="Q74" s="2">
        <v>-191.6412</v>
      </c>
      <c r="R74" s="2">
        <v>140.47190000000001</v>
      </c>
      <c r="S74" s="2">
        <v>3346.07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">
      <c r="A75" s="3" t="s">
        <v>75</v>
      </c>
      <c r="B75" s="4" t="s">
        <v>70</v>
      </c>
      <c r="C75" s="3" t="s">
        <v>46</v>
      </c>
      <c r="D75" s="3" t="s">
        <v>45</v>
      </c>
      <c r="E75" s="3" t="s">
        <v>46</v>
      </c>
      <c r="F75" s="3" t="s">
        <v>43</v>
      </c>
      <c r="G75" s="2">
        <v>1</v>
      </c>
      <c r="H75" s="2">
        <v>0.99309999999999998</v>
      </c>
      <c r="I75" s="2">
        <v>5.4321999999999999</v>
      </c>
      <c r="J75" s="2">
        <v>14.6158</v>
      </c>
      <c r="K75" s="2">
        <v>20.7409</v>
      </c>
      <c r="L75" s="2">
        <v>184.92420000000001</v>
      </c>
      <c r="M75" s="2">
        <v>318.78399999999999</v>
      </c>
      <c r="N75" s="2">
        <v>0.99380000000000002</v>
      </c>
      <c r="O75" s="2">
        <v>4.7973999999999997</v>
      </c>
      <c r="P75" s="2">
        <v>15.782999999999999</v>
      </c>
      <c r="Q75" s="2">
        <v>14.460100000000001</v>
      </c>
      <c r="R75" s="2">
        <v>138.2328</v>
      </c>
      <c r="S75" s="2">
        <v>292.71499999999997</v>
      </c>
      <c r="T75" s="2">
        <v>0.99339999999999995</v>
      </c>
      <c r="U75" s="2">
        <v>0.39739999999999998</v>
      </c>
      <c r="V75" s="2">
        <v>11.8964</v>
      </c>
      <c r="W75" s="2">
        <v>-0.95430000000000004</v>
      </c>
      <c r="X75" s="2">
        <v>20.204899999999999</v>
      </c>
      <c r="Y75" s="2">
        <v>69.7</v>
      </c>
      <c r="Z75" s="2">
        <v>0.94079999999999997</v>
      </c>
      <c r="AA75" s="2">
        <v>0.3165</v>
      </c>
      <c r="AB75" s="2">
        <v>1.6328</v>
      </c>
      <c r="AC75" s="2">
        <v>-3.8955000000000002</v>
      </c>
      <c r="AD75" s="2">
        <v>0.1363</v>
      </c>
      <c r="AE75" s="2">
        <v>26.4</v>
      </c>
      <c r="AF75" s="2">
        <v>0.9899</v>
      </c>
      <c r="AG75" s="2">
        <v>0.52229999999999999</v>
      </c>
      <c r="AH75" s="2">
        <v>15.4328</v>
      </c>
      <c r="AI75" s="2">
        <v>4.0875000000000004</v>
      </c>
      <c r="AJ75" s="2">
        <v>21.250399999999999</v>
      </c>
      <c r="AK75" s="2">
        <v>140.9</v>
      </c>
      <c r="AL75" s="2">
        <v>0.85440000000000005</v>
      </c>
      <c r="AM75" s="2">
        <v>1.6048</v>
      </c>
      <c r="AN75" s="2">
        <v>68.679299999999998</v>
      </c>
      <c r="AO75" s="2">
        <v>3.9</v>
      </c>
      <c r="AP75" s="2">
        <v>22.036899999999999</v>
      </c>
      <c r="AQ75" s="2">
        <v>189.1</v>
      </c>
    </row>
    <row r="76" spans="1:43" x14ac:dyDescent="0.2">
      <c r="A76" s="3"/>
      <c r="B76" s="5"/>
      <c r="C76" s="3"/>
      <c r="D76" s="3"/>
      <c r="E76" s="3"/>
      <c r="F76" s="3"/>
      <c r="G76" s="2">
        <v>2</v>
      </c>
      <c r="H76" s="2">
        <v>0.93540000000000001</v>
      </c>
      <c r="I76" s="2">
        <v>10.701599999999999</v>
      </c>
      <c r="J76" s="2">
        <v>22.247499999999999</v>
      </c>
      <c r="K76" s="2">
        <v>81.037199999999999</v>
      </c>
      <c r="L76" s="2">
        <v>186.59790000000001</v>
      </c>
      <c r="M76" s="2">
        <v>303.38400000000001</v>
      </c>
      <c r="N76" s="2">
        <v>0.98770000000000002</v>
      </c>
      <c r="O76" s="2">
        <v>4.2488999999999999</v>
      </c>
      <c r="P76" s="2">
        <v>12.1739</v>
      </c>
      <c r="Q76" s="2">
        <v>31.75</v>
      </c>
      <c r="R76" s="2">
        <v>141.2833</v>
      </c>
      <c r="S76" s="2">
        <v>244.1807</v>
      </c>
      <c r="T76" s="2">
        <v>0.96009999999999995</v>
      </c>
      <c r="U76" s="2">
        <v>1.7278</v>
      </c>
      <c r="V76" s="2">
        <v>10.151899999999999</v>
      </c>
      <c r="W76" s="2">
        <v>5.1543000000000001</v>
      </c>
      <c r="X76" s="2">
        <v>23.422999999999998</v>
      </c>
      <c r="Y76" s="2">
        <v>84.4</v>
      </c>
      <c r="Z76" s="2">
        <v>-1.3411</v>
      </c>
      <c r="AA76" s="2">
        <v>1.7254</v>
      </c>
      <c r="AB76" s="2">
        <v>6.2878999999999996</v>
      </c>
      <c r="AC76" s="2">
        <v>-3.7879</v>
      </c>
      <c r="AD76" s="2">
        <v>4.48E-2</v>
      </c>
      <c r="AE76" s="2">
        <v>3.0865</v>
      </c>
      <c r="AF76" s="2">
        <v>0.92979999999999996</v>
      </c>
      <c r="AG76" s="2">
        <v>2.8435999999999999</v>
      </c>
      <c r="AH76" s="2">
        <v>30.692399999999999</v>
      </c>
      <c r="AI76" s="2">
        <v>5.2</v>
      </c>
      <c r="AJ76" s="2">
        <v>26.040600000000001</v>
      </c>
      <c r="AK76" s="2">
        <v>173.5</v>
      </c>
      <c r="AL76" s="2">
        <v>0.85089999999999999</v>
      </c>
      <c r="AM76" s="2">
        <v>4.2374999999999998</v>
      </c>
      <c r="AN76" s="2">
        <v>50.912300000000002</v>
      </c>
      <c r="AO76" s="2">
        <v>5.2</v>
      </c>
      <c r="AP76" s="2">
        <v>26.630800000000001</v>
      </c>
      <c r="AQ76" s="2">
        <v>173.5</v>
      </c>
    </row>
    <row r="77" spans="1:43" x14ac:dyDescent="0.2">
      <c r="A77" s="3"/>
      <c r="B77" s="5"/>
      <c r="C77" s="3"/>
      <c r="D77" s="3"/>
      <c r="E77" s="3"/>
      <c r="F77" s="3"/>
      <c r="G77" s="2" t="s">
        <v>47</v>
      </c>
      <c r="H77" s="2">
        <v>0.99060000000000004</v>
      </c>
      <c r="I77" s="2">
        <v>6.16</v>
      </c>
      <c r="J77" s="2">
        <v>22.247499999999999</v>
      </c>
      <c r="K77" s="2">
        <v>20.7409</v>
      </c>
      <c r="L77" s="2">
        <v>192.90350000000001</v>
      </c>
      <c r="M77" s="2">
        <v>318.78399999999999</v>
      </c>
      <c r="N77" s="2">
        <v>0.99360000000000004</v>
      </c>
      <c r="O77" s="2">
        <v>4.9184000000000001</v>
      </c>
      <c r="P77" s="2">
        <v>15.782999999999999</v>
      </c>
      <c r="Q77" s="2">
        <v>14.460100000000001</v>
      </c>
      <c r="R77" s="2">
        <v>130.5575</v>
      </c>
      <c r="S77" s="2">
        <v>292.71499999999997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">
      <c r="A78" s="3"/>
      <c r="B78" s="5"/>
      <c r="C78" s="3" t="s">
        <v>46</v>
      </c>
      <c r="D78" s="3" t="s">
        <v>43</v>
      </c>
      <c r="E78" s="3" t="s">
        <v>46</v>
      </c>
      <c r="F78" s="3" t="s">
        <v>45</v>
      </c>
      <c r="G78" s="2">
        <v>1</v>
      </c>
      <c r="H78" s="2">
        <v>0.99339999999999995</v>
      </c>
      <c r="I78" s="2">
        <v>5.4321999999999999</v>
      </c>
      <c r="J78" s="2">
        <v>14.6158</v>
      </c>
      <c r="K78" s="2">
        <v>20.7409</v>
      </c>
      <c r="L78" s="2">
        <v>184.92420000000001</v>
      </c>
      <c r="M78" s="2">
        <v>318.78399999999999</v>
      </c>
      <c r="N78" s="2">
        <v>0.99399999999999999</v>
      </c>
      <c r="O78" s="2">
        <v>4.7973999999999997</v>
      </c>
      <c r="P78" s="2">
        <v>15.782999999999999</v>
      </c>
      <c r="Q78" s="2">
        <v>14.460100000000001</v>
      </c>
      <c r="R78" s="2">
        <v>138.2328</v>
      </c>
      <c r="S78" s="2">
        <v>292.71499999999997</v>
      </c>
      <c r="T78" s="2">
        <v>0.99350000000000005</v>
      </c>
      <c r="U78" s="2">
        <v>0.39739999999999998</v>
      </c>
      <c r="V78" s="2">
        <v>11.8964</v>
      </c>
      <c r="W78" s="2">
        <v>-0.95430000000000004</v>
      </c>
      <c r="X78" s="2">
        <v>20.204899999999999</v>
      </c>
      <c r="Y78" s="2">
        <v>69.7</v>
      </c>
      <c r="Z78" s="2">
        <v>0.90529999999999999</v>
      </c>
      <c r="AA78" s="2">
        <v>0.3165</v>
      </c>
      <c r="AB78" s="2">
        <v>1.6328</v>
      </c>
      <c r="AC78" s="2">
        <v>-3.8955000000000002</v>
      </c>
      <c r="AD78" s="2">
        <v>0.1363</v>
      </c>
      <c r="AE78" s="2">
        <v>26.4</v>
      </c>
      <c r="AF78" s="2">
        <v>0.99019999999999997</v>
      </c>
      <c r="AG78" s="2">
        <v>0.52229999999999999</v>
      </c>
      <c r="AH78" s="2">
        <v>15.4328</v>
      </c>
      <c r="AI78" s="2">
        <v>4.0875000000000004</v>
      </c>
      <c r="AJ78" s="2">
        <v>21.250399999999999</v>
      </c>
      <c r="AK78" s="2">
        <v>140.9</v>
      </c>
      <c r="AL78" s="2">
        <v>0.89700000000000002</v>
      </c>
      <c r="AM78" s="2">
        <v>1.6048</v>
      </c>
      <c r="AN78" s="2">
        <v>68.679299999999998</v>
      </c>
      <c r="AO78" s="2">
        <v>3.9</v>
      </c>
      <c r="AP78" s="2">
        <v>22.036899999999999</v>
      </c>
      <c r="AQ78" s="2">
        <v>189.1</v>
      </c>
    </row>
    <row r="79" spans="1:43" x14ac:dyDescent="0.2">
      <c r="A79" s="3"/>
      <c r="B79" s="5"/>
      <c r="C79" s="3"/>
      <c r="D79" s="3"/>
      <c r="E79" s="3"/>
      <c r="F79" s="3"/>
      <c r="G79" s="2">
        <v>2</v>
      </c>
      <c r="H79" s="2">
        <v>0.9385</v>
      </c>
      <c r="I79" s="2">
        <v>10.701599999999999</v>
      </c>
      <c r="J79" s="2">
        <v>22.247499999999999</v>
      </c>
      <c r="K79" s="2">
        <v>81.037199999999999</v>
      </c>
      <c r="L79" s="2">
        <v>186.59790000000001</v>
      </c>
      <c r="M79" s="2">
        <v>303.38400000000001</v>
      </c>
      <c r="N79" s="2">
        <v>0.98850000000000005</v>
      </c>
      <c r="O79" s="2">
        <v>4.2488999999999999</v>
      </c>
      <c r="P79" s="2">
        <v>12.1739</v>
      </c>
      <c r="Q79" s="2">
        <v>31.75</v>
      </c>
      <c r="R79" s="2">
        <v>141.2833</v>
      </c>
      <c r="S79" s="2">
        <v>244.1807</v>
      </c>
      <c r="T79" s="2">
        <v>0.96509999999999996</v>
      </c>
      <c r="U79" s="2">
        <v>1.7278</v>
      </c>
      <c r="V79" s="2">
        <v>10.151899999999999</v>
      </c>
      <c r="W79" s="2">
        <v>5.1543000000000001</v>
      </c>
      <c r="X79" s="2">
        <v>23.422999999999998</v>
      </c>
      <c r="Y79" s="2">
        <v>84.4</v>
      </c>
      <c r="Z79" s="2">
        <v>-2.4699</v>
      </c>
      <c r="AA79" s="2">
        <v>1.7254</v>
      </c>
      <c r="AB79" s="2">
        <v>6.2878999999999996</v>
      </c>
      <c r="AC79" s="2">
        <v>-3.7879</v>
      </c>
      <c r="AD79" s="2">
        <v>4.48E-2</v>
      </c>
      <c r="AE79" s="2">
        <v>3.0865</v>
      </c>
      <c r="AF79" s="2">
        <v>0.95240000000000002</v>
      </c>
      <c r="AG79" s="2">
        <v>2.8435999999999999</v>
      </c>
      <c r="AH79" s="2">
        <v>30.692399999999999</v>
      </c>
      <c r="AI79" s="2">
        <v>5.2</v>
      </c>
      <c r="AJ79" s="2">
        <v>26.040600000000001</v>
      </c>
      <c r="AK79" s="2">
        <v>173.5</v>
      </c>
      <c r="AL79" s="2">
        <v>0.90239999999999998</v>
      </c>
      <c r="AM79" s="2">
        <v>4.2374999999999998</v>
      </c>
      <c r="AN79" s="2">
        <v>50.912300000000002</v>
      </c>
      <c r="AO79" s="2">
        <v>5.2</v>
      </c>
      <c r="AP79" s="2">
        <v>26.630800000000001</v>
      </c>
      <c r="AQ79" s="2">
        <v>173.5</v>
      </c>
    </row>
    <row r="80" spans="1:43" x14ac:dyDescent="0.2">
      <c r="A80" s="3"/>
      <c r="B80" s="6"/>
      <c r="C80" s="3"/>
      <c r="D80" s="3"/>
      <c r="E80" s="3"/>
      <c r="F80" s="3"/>
      <c r="G80" s="2" t="s">
        <v>47</v>
      </c>
      <c r="H80" s="2">
        <v>0.99109999999999998</v>
      </c>
      <c r="I80" s="2">
        <v>6.16</v>
      </c>
      <c r="J80" s="2">
        <v>22.247499999999999</v>
      </c>
      <c r="K80" s="2">
        <v>20.7409</v>
      </c>
      <c r="L80" s="2">
        <v>192.90350000000001</v>
      </c>
      <c r="M80" s="2">
        <v>318.78399999999999</v>
      </c>
      <c r="N80" s="2">
        <v>0.99380000000000002</v>
      </c>
      <c r="O80" s="2">
        <v>4.9184000000000001</v>
      </c>
      <c r="P80" s="2">
        <v>15.782999999999999</v>
      </c>
      <c r="Q80" s="2">
        <v>14.460100000000001</v>
      </c>
      <c r="R80" s="2">
        <v>130.5575</v>
      </c>
      <c r="S80" s="2">
        <v>292.71499999999997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">
      <c r="A81" s="3"/>
      <c r="B81" s="4" t="s">
        <v>68</v>
      </c>
      <c r="C81" s="3" t="s">
        <v>42</v>
      </c>
      <c r="D81" s="3" t="s">
        <v>45</v>
      </c>
      <c r="E81" s="3" t="s">
        <v>44</v>
      </c>
      <c r="F81" s="3" t="s">
        <v>45</v>
      </c>
      <c r="G81" s="2">
        <v>1</v>
      </c>
      <c r="H81" s="2">
        <v>0.94889999999999997</v>
      </c>
      <c r="I81" s="2">
        <v>17.1297</v>
      </c>
      <c r="J81" s="2">
        <v>42.7926</v>
      </c>
      <c r="K81" s="2">
        <v>30.5488</v>
      </c>
      <c r="L81" s="2">
        <v>226.11199999999999</v>
      </c>
      <c r="M81" s="2">
        <v>366.93579999999997</v>
      </c>
      <c r="N81" s="2">
        <v>0.98570000000000002</v>
      </c>
      <c r="O81" s="2">
        <v>7.0277000000000003</v>
      </c>
      <c r="P81" s="2">
        <v>34.617199999999997</v>
      </c>
      <c r="Q81" s="2">
        <v>-2.2288999999999999</v>
      </c>
      <c r="R81" s="2">
        <v>116.3887</v>
      </c>
      <c r="S81" s="2">
        <v>292.82150000000001</v>
      </c>
      <c r="T81" s="2">
        <v>0.98270000000000002</v>
      </c>
      <c r="U81" s="2">
        <v>0.94699999999999995</v>
      </c>
      <c r="V81" s="2">
        <v>18.6069</v>
      </c>
      <c r="W81" s="2">
        <v>1.0542</v>
      </c>
      <c r="X81" s="2">
        <v>24.8216</v>
      </c>
      <c r="Y81" s="2">
        <v>105.86490000000001</v>
      </c>
      <c r="Z81" s="2">
        <v>3.2300000000000002E-2</v>
      </c>
      <c r="AA81" s="2">
        <v>0.78029999999999999</v>
      </c>
      <c r="AB81" s="2">
        <v>38.783200000000001</v>
      </c>
      <c r="AC81" s="2">
        <v>-2.5381</v>
      </c>
      <c r="AD81" s="2">
        <v>0.57730000000000004</v>
      </c>
      <c r="AE81" s="2">
        <v>38.857599999999998</v>
      </c>
      <c r="AF81" s="2">
        <v>0.98899999999999999</v>
      </c>
      <c r="AG81" s="2">
        <v>1.1942999999999999</v>
      </c>
      <c r="AH81" s="2">
        <v>24.7362</v>
      </c>
      <c r="AI81" s="2">
        <v>4.7653999999999996</v>
      </c>
      <c r="AJ81" s="2">
        <v>28.789200000000001</v>
      </c>
      <c r="AK81" s="2">
        <v>220.3914</v>
      </c>
      <c r="AL81" s="2">
        <v>0.97729999999999995</v>
      </c>
      <c r="AM81" s="2">
        <v>1.8897999999999999</v>
      </c>
      <c r="AN81" s="2">
        <v>46.491999999999997</v>
      </c>
      <c r="AO81" s="2">
        <v>3.6536</v>
      </c>
      <c r="AP81" s="2">
        <v>31.795200000000001</v>
      </c>
      <c r="AQ81" s="2">
        <v>268.08730000000003</v>
      </c>
    </row>
    <row r="82" spans="1:43" x14ac:dyDescent="0.2">
      <c r="A82" s="3"/>
      <c r="B82" s="5"/>
      <c r="C82" s="3"/>
      <c r="D82" s="3"/>
      <c r="E82" s="3"/>
      <c r="F82" s="3"/>
      <c r="G82" s="2">
        <v>2</v>
      </c>
      <c r="H82" s="2">
        <v>0.91959999999999997</v>
      </c>
      <c r="I82" s="2">
        <v>20.232800000000001</v>
      </c>
      <c r="J82" s="2">
        <v>35.194699999999997</v>
      </c>
      <c r="K82" s="2">
        <v>81.644499999999994</v>
      </c>
      <c r="L82" s="2">
        <v>204.99860000000001</v>
      </c>
      <c r="M82" s="2">
        <v>327.8777</v>
      </c>
      <c r="N82" s="2">
        <v>0.97929999999999995</v>
      </c>
      <c r="O82" s="2">
        <v>9.9216999999999995</v>
      </c>
      <c r="P82" s="2">
        <v>19.483699999999999</v>
      </c>
      <c r="Q82" s="2">
        <v>19.643999999999998</v>
      </c>
      <c r="R82" s="2">
        <v>138.82929999999999</v>
      </c>
      <c r="S82" s="2">
        <v>240.113</v>
      </c>
      <c r="T82" s="2">
        <v>0.93489999999999995</v>
      </c>
      <c r="U82" s="2">
        <v>2.101</v>
      </c>
      <c r="V82" s="2">
        <v>13.124599999999999</v>
      </c>
      <c r="W82" s="2">
        <v>6.2980999999999998</v>
      </c>
      <c r="X82" s="2">
        <v>25.146699999999999</v>
      </c>
      <c r="Y82" s="2">
        <v>72.126999999999995</v>
      </c>
      <c r="Z82" s="2">
        <v>-0.379</v>
      </c>
      <c r="AA82" s="2">
        <v>1.6983999999999999</v>
      </c>
      <c r="AB82" s="2">
        <v>19.533200000000001</v>
      </c>
      <c r="AC82" s="2">
        <v>-2.379</v>
      </c>
      <c r="AD82" s="2">
        <v>0.63439999999999996</v>
      </c>
      <c r="AE82" s="2">
        <v>17.6188</v>
      </c>
      <c r="AF82" s="2">
        <v>0.91300000000000003</v>
      </c>
      <c r="AG82" s="2">
        <v>2.9091999999999998</v>
      </c>
      <c r="AH82" s="2">
        <v>13.637499999999999</v>
      </c>
      <c r="AI82" s="2">
        <v>6.1333000000000002</v>
      </c>
      <c r="AJ82" s="2">
        <v>28.1297</v>
      </c>
      <c r="AK82" s="2">
        <v>80.600399999999993</v>
      </c>
      <c r="AL82" s="2">
        <v>0.75609999999999999</v>
      </c>
      <c r="AM82" s="2">
        <v>5.8221999999999996</v>
      </c>
      <c r="AN82" s="2">
        <v>37.670099999999998</v>
      </c>
      <c r="AO82" s="2">
        <v>6.1333000000000002</v>
      </c>
      <c r="AP82" s="2">
        <v>31.566299999999998</v>
      </c>
      <c r="AQ82" s="2">
        <v>155.69880000000001</v>
      </c>
    </row>
    <row r="83" spans="1:43" x14ac:dyDescent="0.2">
      <c r="A83" s="3"/>
      <c r="B83" s="6"/>
      <c r="C83" s="3"/>
      <c r="D83" s="3"/>
      <c r="E83" s="3"/>
      <c r="F83" s="3"/>
      <c r="G83" s="2" t="s">
        <v>47</v>
      </c>
      <c r="H83" s="2">
        <v>0.94910000000000005</v>
      </c>
      <c r="I83" s="2">
        <v>17.074200000000001</v>
      </c>
      <c r="J83" s="2">
        <v>59.6768</v>
      </c>
      <c r="K83" s="2">
        <v>30.5488</v>
      </c>
      <c r="L83" s="2">
        <v>241.77799999999999</v>
      </c>
      <c r="M83" s="2">
        <v>368.03699999999998</v>
      </c>
      <c r="N83" s="2">
        <v>0.98570000000000002</v>
      </c>
      <c r="O83" s="2">
        <v>7.0635000000000003</v>
      </c>
      <c r="P83" s="2">
        <v>42.642400000000002</v>
      </c>
      <c r="Q83" s="2">
        <v>-12.713900000000001</v>
      </c>
      <c r="R83" s="2">
        <v>101.35250000000001</v>
      </c>
      <c r="S83" s="2">
        <v>292.82150000000001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">
      <c r="A84" s="3"/>
      <c r="B84" s="4" t="s">
        <v>69</v>
      </c>
      <c r="C84" s="3" t="s">
        <v>42</v>
      </c>
      <c r="D84" s="3" t="s">
        <v>43</v>
      </c>
      <c r="E84" s="3" t="s">
        <v>42</v>
      </c>
      <c r="F84" s="3" t="s">
        <v>45</v>
      </c>
      <c r="G84" s="2">
        <v>1</v>
      </c>
      <c r="H84" s="2">
        <v>0.99809999999999999</v>
      </c>
      <c r="I84" s="2">
        <v>2.8723000000000001</v>
      </c>
      <c r="J84" s="2">
        <v>10.501799999999999</v>
      </c>
      <c r="K84" s="2">
        <v>40.7836</v>
      </c>
      <c r="L84" s="2">
        <v>235.58629999999999</v>
      </c>
      <c r="M84" s="2">
        <v>367.77949999999998</v>
      </c>
      <c r="N84" s="2">
        <v>0.99650000000000005</v>
      </c>
      <c r="O84" s="2">
        <v>3.8401999999999998</v>
      </c>
      <c r="P84" s="2">
        <v>13.5344</v>
      </c>
      <c r="Q84" s="2">
        <v>-15.309900000000001</v>
      </c>
      <c r="R84" s="2">
        <v>112.462</v>
      </c>
      <c r="S84" s="2">
        <v>292.82150000000001</v>
      </c>
      <c r="T84" s="2">
        <v>0.99660000000000004</v>
      </c>
      <c r="U84" s="2">
        <v>0.47839999999999999</v>
      </c>
      <c r="V84" s="2">
        <v>7.8181000000000003</v>
      </c>
      <c r="W84" s="2">
        <v>1.0584</v>
      </c>
      <c r="X84" s="2">
        <v>24.547999999999998</v>
      </c>
      <c r="Y84" s="2">
        <v>103.21510000000001</v>
      </c>
      <c r="Z84" s="2">
        <v>0.9819</v>
      </c>
      <c r="AA84" s="2">
        <v>0.20649999999999999</v>
      </c>
      <c r="AB84" s="2">
        <v>5.9904000000000002</v>
      </c>
      <c r="AC84" s="2">
        <v>-3.4</v>
      </c>
      <c r="AD84" s="2">
        <v>1.0766</v>
      </c>
      <c r="AE84" s="2">
        <v>49.9</v>
      </c>
      <c r="AF84" s="2">
        <v>0.99770000000000003</v>
      </c>
      <c r="AG84" s="2">
        <v>0.69779999999999998</v>
      </c>
      <c r="AH84" s="2">
        <v>8.7782999999999998</v>
      </c>
      <c r="AI84" s="2">
        <v>4.5</v>
      </c>
      <c r="AJ84" s="2">
        <v>29.0215</v>
      </c>
      <c r="AK84" s="2">
        <v>223.1</v>
      </c>
      <c r="AL84" s="2">
        <v>0.98040000000000005</v>
      </c>
      <c r="AM84" s="2">
        <v>1.6746000000000001</v>
      </c>
      <c r="AN84" s="2">
        <v>71.684399999999997</v>
      </c>
      <c r="AO84" s="2">
        <v>3.8416999999999999</v>
      </c>
      <c r="AP84" s="2">
        <v>32.272300000000001</v>
      </c>
      <c r="AQ84" s="2">
        <v>268.08730000000003</v>
      </c>
    </row>
    <row r="85" spans="1:43" x14ac:dyDescent="0.2">
      <c r="A85" s="3"/>
      <c r="B85" s="5"/>
      <c r="C85" s="3"/>
      <c r="D85" s="3"/>
      <c r="E85" s="3"/>
      <c r="F85" s="3"/>
      <c r="G85" s="2">
        <v>2</v>
      </c>
      <c r="H85" s="2">
        <v>0.98529999999999995</v>
      </c>
      <c r="I85" s="2">
        <v>6.2895000000000003</v>
      </c>
      <c r="J85" s="2">
        <v>13.986000000000001</v>
      </c>
      <c r="K85" s="2">
        <v>100.684</v>
      </c>
      <c r="L85" s="2">
        <v>245.38630000000001</v>
      </c>
      <c r="M85" s="2">
        <v>349.3981</v>
      </c>
      <c r="N85" s="2">
        <v>0.99409999999999998</v>
      </c>
      <c r="O85" s="2">
        <v>3.5889000000000002</v>
      </c>
      <c r="P85" s="2">
        <v>8.8031000000000006</v>
      </c>
      <c r="Q85" s="2">
        <v>5.0003000000000002</v>
      </c>
      <c r="R85" s="2">
        <v>102.7486</v>
      </c>
      <c r="S85" s="2">
        <v>236.4</v>
      </c>
      <c r="T85" s="2">
        <v>0.95779999999999998</v>
      </c>
      <c r="U85" s="2">
        <v>1.5588</v>
      </c>
      <c r="V85" s="2">
        <v>11.087199999999999</v>
      </c>
      <c r="W85" s="2">
        <v>5.2</v>
      </c>
      <c r="X85" s="2">
        <v>21.7531</v>
      </c>
      <c r="Y85" s="2">
        <v>70</v>
      </c>
      <c r="Z85" s="2">
        <v>0.6724</v>
      </c>
      <c r="AA85" s="2">
        <v>0.57010000000000005</v>
      </c>
      <c r="AB85" s="2">
        <v>8.6954999999999991</v>
      </c>
      <c r="AC85" s="2">
        <v>-2.2000000000000002</v>
      </c>
      <c r="AD85" s="2">
        <v>0.56379999999999997</v>
      </c>
      <c r="AE85" s="2">
        <v>18.899999999999999</v>
      </c>
      <c r="AF85" s="2">
        <v>0.90790000000000004</v>
      </c>
      <c r="AG85" s="2">
        <v>2.6063999999999998</v>
      </c>
      <c r="AH85" s="2">
        <v>18.9786</v>
      </c>
      <c r="AI85" s="2">
        <v>6.1</v>
      </c>
      <c r="AJ85" s="2">
        <v>24.805700000000002</v>
      </c>
      <c r="AK85" s="2">
        <v>92.617000000000004</v>
      </c>
      <c r="AL85" s="2">
        <v>0.67249999999999999</v>
      </c>
      <c r="AM85" s="2">
        <v>4.8079000000000001</v>
      </c>
      <c r="AN85" s="2">
        <v>65.318200000000004</v>
      </c>
      <c r="AO85" s="2">
        <v>5.6851000000000003</v>
      </c>
      <c r="AP85" s="2">
        <v>27.686699999999998</v>
      </c>
      <c r="AQ85" s="2">
        <v>146.02539999999999</v>
      </c>
    </row>
    <row r="86" spans="1:43" x14ac:dyDescent="0.2">
      <c r="A86" s="3"/>
      <c r="B86" s="6"/>
      <c r="C86" s="3"/>
      <c r="D86" s="3"/>
      <c r="E86" s="3"/>
      <c r="F86" s="3"/>
      <c r="G86" s="2" t="s">
        <v>47</v>
      </c>
      <c r="H86" s="2">
        <v>0.99780000000000002</v>
      </c>
      <c r="I86" s="2">
        <v>2.9487000000000001</v>
      </c>
      <c r="J86" s="2">
        <v>16.052900000000001</v>
      </c>
      <c r="K86" s="2">
        <v>40.7836</v>
      </c>
      <c r="L86" s="2">
        <v>249.39930000000001</v>
      </c>
      <c r="M86" s="2">
        <v>368.03699999999998</v>
      </c>
      <c r="N86" s="2">
        <v>0.99690000000000001</v>
      </c>
      <c r="O86" s="2">
        <v>3.5293000000000001</v>
      </c>
      <c r="P86" s="2">
        <v>13.5344</v>
      </c>
      <c r="Q86" s="2">
        <v>-15.309900000000001</v>
      </c>
      <c r="R86" s="2">
        <v>99.179500000000004</v>
      </c>
      <c r="S86" s="2">
        <v>292.82150000000001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">
      <c r="A87" s="3"/>
      <c r="B87" s="4" t="s">
        <v>66</v>
      </c>
      <c r="C87" s="3" t="s">
        <v>42</v>
      </c>
      <c r="D87" s="3" t="s">
        <v>43</v>
      </c>
      <c r="E87" s="3" t="s">
        <v>44</v>
      </c>
      <c r="F87" s="3" t="s">
        <v>45</v>
      </c>
      <c r="G87" s="2">
        <v>1</v>
      </c>
      <c r="H87" s="2">
        <v>0.95899999999999996</v>
      </c>
      <c r="I87" s="2">
        <v>15.190099999999999</v>
      </c>
      <c r="J87" s="2">
        <v>42.157600000000002</v>
      </c>
      <c r="K87" s="2">
        <v>30.5488</v>
      </c>
      <c r="L87" s="2">
        <v>224.91829999999999</v>
      </c>
      <c r="M87" s="2">
        <v>359.084</v>
      </c>
      <c r="N87" s="2">
        <v>0.98850000000000005</v>
      </c>
      <c r="O87" s="2">
        <v>6.3811</v>
      </c>
      <c r="P87" s="2">
        <v>35.776800000000001</v>
      </c>
      <c r="Q87" s="2">
        <v>-1.5901000000000001</v>
      </c>
      <c r="R87" s="2">
        <v>117.3584</v>
      </c>
      <c r="S87" s="2">
        <v>290.03579999999999</v>
      </c>
      <c r="T87" s="2">
        <v>0.97030000000000005</v>
      </c>
      <c r="U87" s="2">
        <v>1.2353000000000001</v>
      </c>
      <c r="V87" s="2">
        <v>24.479900000000001</v>
      </c>
      <c r="W87" s="2">
        <v>1.0542</v>
      </c>
      <c r="X87" s="2">
        <v>25.126000000000001</v>
      </c>
      <c r="Y87" s="2">
        <v>105.86490000000001</v>
      </c>
      <c r="Z87" s="2">
        <v>1.2999999999999999E-2</v>
      </c>
      <c r="AA87" s="2">
        <v>0.9919</v>
      </c>
      <c r="AB87" s="2">
        <v>44.525700000000001</v>
      </c>
      <c r="AC87" s="2">
        <v>-2.7</v>
      </c>
      <c r="AD87" s="2">
        <v>0.65769999999999995</v>
      </c>
      <c r="AE87" s="2">
        <v>44.6</v>
      </c>
      <c r="AF87" s="2">
        <v>0.9909</v>
      </c>
      <c r="AG87" s="2">
        <v>1.1729000000000001</v>
      </c>
      <c r="AH87" s="2">
        <v>25.241</v>
      </c>
      <c r="AI87" s="2">
        <v>4.7653999999999996</v>
      </c>
      <c r="AJ87" s="2">
        <v>29.299900000000001</v>
      </c>
      <c r="AK87" s="2">
        <v>223.1</v>
      </c>
      <c r="AL87" s="2">
        <v>0.9637</v>
      </c>
      <c r="AM87" s="2">
        <v>2.6859999999999999</v>
      </c>
      <c r="AN87" s="2">
        <v>50.7408</v>
      </c>
      <c r="AO87" s="2">
        <v>3.6536</v>
      </c>
      <c r="AP87" s="2">
        <v>32.020600000000002</v>
      </c>
      <c r="AQ87" s="2">
        <v>259.85469999999998</v>
      </c>
    </row>
    <row r="88" spans="1:43" x14ac:dyDescent="0.2">
      <c r="A88" s="3"/>
      <c r="B88" s="5"/>
      <c r="C88" s="3"/>
      <c r="D88" s="3"/>
      <c r="E88" s="3"/>
      <c r="F88" s="3"/>
      <c r="G88" s="2">
        <v>2</v>
      </c>
      <c r="H88" s="2">
        <v>0.95840000000000003</v>
      </c>
      <c r="I88" s="2">
        <v>9.8866999999999994</v>
      </c>
      <c r="J88" s="2">
        <v>29.4358</v>
      </c>
      <c r="K88" s="2">
        <v>99.808599999999998</v>
      </c>
      <c r="L88" s="2">
        <v>239.1514</v>
      </c>
      <c r="M88" s="2">
        <v>345.28399999999999</v>
      </c>
      <c r="N88" s="2">
        <v>0.9849</v>
      </c>
      <c r="O88" s="2">
        <v>6.2344999999999997</v>
      </c>
      <c r="P88" s="2">
        <v>18.642499999999998</v>
      </c>
      <c r="Q88" s="2">
        <v>4.09</v>
      </c>
      <c r="R88" s="2">
        <v>102.09099999999999</v>
      </c>
      <c r="S88" s="2">
        <v>236.4</v>
      </c>
      <c r="T88" s="2">
        <v>0.92169999999999996</v>
      </c>
      <c r="U88" s="2">
        <v>1.9353</v>
      </c>
      <c r="V88" s="2">
        <v>14.9117</v>
      </c>
      <c r="W88" s="2">
        <v>5.2</v>
      </c>
      <c r="X88" s="2">
        <v>21.876999999999999</v>
      </c>
      <c r="Y88" s="2">
        <v>61.925600000000003</v>
      </c>
      <c r="Z88" s="2">
        <v>-0.21759999999999999</v>
      </c>
      <c r="AA88" s="2">
        <v>0.95389999999999997</v>
      </c>
      <c r="AB88" s="2">
        <v>22.379000000000001</v>
      </c>
      <c r="AC88" s="2">
        <v>-2.379</v>
      </c>
      <c r="AD88" s="2">
        <v>0.39240000000000003</v>
      </c>
      <c r="AE88" s="2">
        <v>20</v>
      </c>
      <c r="AF88" s="2">
        <v>0.90569999999999995</v>
      </c>
      <c r="AG88" s="2">
        <v>2.6608000000000001</v>
      </c>
      <c r="AH88" s="2">
        <v>20.8352</v>
      </c>
      <c r="AI88" s="2">
        <v>5.6707999999999998</v>
      </c>
      <c r="AJ88" s="2">
        <v>24.614999999999998</v>
      </c>
      <c r="AK88" s="2">
        <v>92.652699999999996</v>
      </c>
      <c r="AL88" s="2">
        <v>0.66700000000000004</v>
      </c>
      <c r="AM88" s="2">
        <v>5.2790999999999997</v>
      </c>
      <c r="AN88" s="2">
        <v>67.115300000000005</v>
      </c>
      <c r="AO88" s="2">
        <v>5.6707999999999998</v>
      </c>
      <c r="AP88" s="2">
        <v>27.445499999999999</v>
      </c>
      <c r="AQ88" s="2">
        <v>150.3073</v>
      </c>
    </row>
    <row r="89" spans="1:43" x14ac:dyDescent="0.2">
      <c r="A89" s="3"/>
      <c r="B89" s="6"/>
      <c r="C89" s="3"/>
      <c r="D89" s="3"/>
      <c r="E89" s="3"/>
      <c r="F89" s="3"/>
      <c r="G89" s="2" t="s">
        <v>47</v>
      </c>
      <c r="H89" s="2">
        <v>0.95799999999999996</v>
      </c>
      <c r="I89" s="2">
        <v>15.2822</v>
      </c>
      <c r="J89" s="2">
        <v>62.018900000000002</v>
      </c>
      <c r="K89" s="2">
        <v>30.5488</v>
      </c>
      <c r="L89" s="2">
        <v>240.86580000000001</v>
      </c>
      <c r="M89" s="2">
        <v>365.18400000000003</v>
      </c>
      <c r="N89" s="2">
        <v>0.98819999999999997</v>
      </c>
      <c r="O89" s="2">
        <v>6.3502000000000001</v>
      </c>
      <c r="P89" s="2">
        <v>44.085999999999999</v>
      </c>
      <c r="Q89" s="2">
        <v>-15.309900000000001</v>
      </c>
      <c r="R89" s="2">
        <v>101.7067</v>
      </c>
      <c r="S89" s="2">
        <v>290.03579999999999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">
      <c r="A90" s="3"/>
      <c r="B90" s="4" t="s">
        <v>67</v>
      </c>
      <c r="C90" s="3" t="s">
        <v>42</v>
      </c>
      <c r="D90" s="3" t="s">
        <v>43</v>
      </c>
      <c r="E90" s="3" t="s">
        <v>44</v>
      </c>
      <c r="F90" s="3" t="s">
        <v>43</v>
      </c>
      <c r="G90" s="2">
        <v>1</v>
      </c>
      <c r="H90" s="2">
        <v>0.96460000000000001</v>
      </c>
      <c r="I90" s="2">
        <v>13.942600000000001</v>
      </c>
      <c r="J90" s="2">
        <v>41.8</v>
      </c>
      <c r="K90" s="2">
        <v>32.083599999999997</v>
      </c>
      <c r="L90" s="2">
        <v>226.85990000000001</v>
      </c>
      <c r="M90" s="2">
        <v>357.38400000000001</v>
      </c>
      <c r="N90" s="2">
        <v>0.98960000000000004</v>
      </c>
      <c r="O90" s="2">
        <v>5.7523999999999997</v>
      </c>
      <c r="P90" s="2">
        <v>35.869999999999997</v>
      </c>
      <c r="Q90" s="2">
        <v>-0.22989999999999999</v>
      </c>
      <c r="R90" s="2">
        <v>115.6198</v>
      </c>
      <c r="S90" s="2">
        <v>286.99</v>
      </c>
      <c r="T90" s="2">
        <v>0.97040000000000004</v>
      </c>
      <c r="U90" s="2">
        <v>1.1640999999999999</v>
      </c>
      <c r="V90" s="2">
        <v>24</v>
      </c>
      <c r="W90" s="2">
        <v>-0.7</v>
      </c>
      <c r="X90" s="2">
        <v>24.948599999999999</v>
      </c>
      <c r="Y90" s="2">
        <v>105.4</v>
      </c>
      <c r="Z90" s="2">
        <v>1.26E-2</v>
      </c>
      <c r="AA90" s="2">
        <v>1.1858</v>
      </c>
      <c r="AB90" s="2">
        <v>44.6</v>
      </c>
      <c r="AC90" s="2">
        <v>-3.1</v>
      </c>
      <c r="AD90" s="2">
        <v>0.62129999999999996</v>
      </c>
      <c r="AE90" s="2">
        <v>44.6</v>
      </c>
      <c r="AF90" s="2">
        <v>0.99129999999999996</v>
      </c>
      <c r="AG90" s="2">
        <v>1.0170999999999999</v>
      </c>
      <c r="AH90" s="2">
        <v>25.2</v>
      </c>
      <c r="AI90" s="2">
        <v>5.5</v>
      </c>
      <c r="AJ90" s="2">
        <v>28.977799999999998</v>
      </c>
      <c r="AK90" s="2">
        <v>223.1</v>
      </c>
      <c r="AL90" s="2">
        <v>0.97540000000000004</v>
      </c>
      <c r="AM90" s="2">
        <v>1.8272999999999999</v>
      </c>
      <c r="AN90" s="2">
        <v>50.7</v>
      </c>
      <c r="AO90" s="2">
        <v>5.5</v>
      </c>
      <c r="AP90" s="2">
        <v>31.276900000000001</v>
      </c>
      <c r="AQ90" s="2">
        <v>233.6</v>
      </c>
    </row>
    <row r="91" spans="1:43" x14ac:dyDescent="0.2">
      <c r="A91" s="3"/>
      <c r="B91" s="5"/>
      <c r="C91" s="3"/>
      <c r="D91" s="3"/>
      <c r="E91" s="3"/>
      <c r="F91" s="3"/>
      <c r="G91" s="2">
        <v>2</v>
      </c>
      <c r="H91" s="2">
        <v>0.88070000000000004</v>
      </c>
      <c r="I91" s="2">
        <v>11.8714</v>
      </c>
      <c r="J91" s="2">
        <v>32.200000000000003</v>
      </c>
      <c r="K91" s="2">
        <v>113.684</v>
      </c>
      <c r="L91" s="2">
        <v>245.68260000000001</v>
      </c>
      <c r="M91" s="2">
        <v>317.28399999999999</v>
      </c>
      <c r="N91" s="2">
        <v>0.96750000000000003</v>
      </c>
      <c r="O91" s="2">
        <v>6.6959999999999997</v>
      </c>
      <c r="P91" s="2">
        <v>14.4</v>
      </c>
      <c r="Q91" s="2">
        <v>23.84</v>
      </c>
      <c r="R91" s="2">
        <v>96.072000000000003</v>
      </c>
      <c r="S91" s="2">
        <v>219.97</v>
      </c>
      <c r="T91" s="2">
        <v>0.8992</v>
      </c>
      <c r="U91" s="2">
        <v>2.0834999999999999</v>
      </c>
      <c r="V91" s="2">
        <v>15</v>
      </c>
      <c r="W91" s="2">
        <v>5.2</v>
      </c>
      <c r="X91" s="2">
        <v>23.825800000000001</v>
      </c>
      <c r="Y91" s="2">
        <v>71.5</v>
      </c>
      <c r="Z91" s="2">
        <v>-0.30590000000000001</v>
      </c>
      <c r="AA91" s="2">
        <v>1.5670999999999999</v>
      </c>
      <c r="AB91" s="2">
        <v>22.9</v>
      </c>
      <c r="AC91" s="2">
        <v>-3.5</v>
      </c>
      <c r="AD91" s="2">
        <v>0.49890000000000001</v>
      </c>
      <c r="AE91" s="2">
        <v>20</v>
      </c>
      <c r="AF91" s="2">
        <v>0.93479999999999996</v>
      </c>
      <c r="AG91" s="2">
        <v>2.4803999999999999</v>
      </c>
      <c r="AH91" s="2">
        <v>20.9</v>
      </c>
      <c r="AI91" s="2">
        <v>6.1</v>
      </c>
      <c r="AJ91" s="2">
        <v>26.865300000000001</v>
      </c>
      <c r="AK91" s="2">
        <v>89</v>
      </c>
      <c r="AL91" s="2">
        <v>0.84819999999999995</v>
      </c>
      <c r="AM91" s="2">
        <v>4.1848999999999998</v>
      </c>
      <c r="AN91" s="2">
        <v>59.5</v>
      </c>
      <c r="AO91" s="2">
        <v>6.1</v>
      </c>
      <c r="AP91" s="2">
        <v>29.5474</v>
      </c>
      <c r="AQ91" s="2">
        <v>130.80000000000001</v>
      </c>
    </row>
    <row r="92" spans="1:43" x14ac:dyDescent="0.2">
      <c r="A92" s="3"/>
      <c r="B92" s="6"/>
      <c r="C92" s="3"/>
      <c r="D92" s="3"/>
      <c r="E92" s="3"/>
      <c r="F92" s="3"/>
      <c r="G92" s="2" t="s">
        <v>47</v>
      </c>
      <c r="H92" s="2">
        <v>0.96220000000000006</v>
      </c>
      <c r="I92" s="2">
        <v>14.360900000000001</v>
      </c>
      <c r="J92" s="2">
        <v>62.8</v>
      </c>
      <c r="K92" s="2">
        <v>32.083599999999997</v>
      </c>
      <c r="L92" s="2">
        <v>241.32919999999999</v>
      </c>
      <c r="M92" s="2">
        <v>365.18400000000003</v>
      </c>
      <c r="N92" s="2">
        <v>0.98880000000000001</v>
      </c>
      <c r="O92" s="2">
        <v>5.8433999999999999</v>
      </c>
      <c r="P92" s="2">
        <v>44.31</v>
      </c>
      <c r="Q92" s="2">
        <v>-15.309900000000001</v>
      </c>
      <c r="R92" s="2">
        <v>101.49120000000001</v>
      </c>
      <c r="S92" s="2">
        <v>286.99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">
      <c r="A93" s="3"/>
      <c r="B93" s="4" t="s">
        <v>66</v>
      </c>
      <c r="C93" s="3" t="s">
        <v>44</v>
      </c>
      <c r="D93" s="3" t="s">
        <v>45</v>
      </c>
      <c r="E93" s="3" t="s">
        <v>42</v>
      </c>
      <c r="F93" s="3" t="s">
        <v>43</v>
      </c>
      <c r="G93" s="2">
        <v>1</v>
      </c>
      <c r="H93" s="2">
        <v>0.95699999999999996</v>
      </c>
      <c r="I93" s="2">
        <v>15.190099999999999</v>
      </c>
      <c r="J93" s="2">
        <v>42.157600000000002</v>
      </c>
      <c r="K93" s="2">
        <v>30.5488</v>
      </c>
      <c r="L93" s="2">
        <v>224.91829999999999</v>
      </c>
      <c r="M93" s="2">
        <v>359.084</v>
      </c>
      <c r="N93" s="2">
        <v>0.98829999999999996</v>
      </c>
      <c r="O93" s="2">
        <v>6.3811</v>
      </c>
      <c r="P93" s="2">
        <v>35.776800000000001</v>
      </c>
      <c r="Q93" s="2">
        <v>-1.5901000000000001</v>
      </c>
      <c r="R93" s="2">
        <v>117.3584</v>
      </c>
      <c r="S93" s="2">
        <v>290.03579999999999</v>
      </c>
      <c r="T93" s="2">
        <v>0.97250000000000003</v>
      </c>
      <c r="U93" s="2">
        <v>1.2353000000000001</v>
      </c>
      <c r="V93" s="2">
        <v>24.479900000000001</v>
      </c>
      <c r="W93" s="2">
        <v>1.0542</v>
      </c>
      <c r="X93" s="2">
        <v>25.126000000000001</v>
      </c>
      <c r="Y93" s="2">
        <v>105.86490000000001</v>
      </c>
      <c r="Z93" s="2">
        <v>-11.9663</v>
      </c>
      <c r="AA93" s="2">
        <v>0.9919</v>
      </c>
      <c r="AB93" s="2">
        <v>44.525700000000001</v>
      </c>
      <c r="AC93" s="2">
        <v>-2.7</v>
      </c>
      <c r="AD93" s="2">
        <v>0.65769999999999995</v>
      </c>
      <c r="AE93" s="2">
        <v>44.6</v>
      </c>
      <c r="AF93" s="2">
        <v>0.9899</v>
      </c>
      <c r="AG93" s="2">
        <v>1.1729000000000001</v>
      </c>
      <c r="AH93" s="2">
        <v>25.241</v>
      </c>
      <c r="AI93" s="2">
        <v>4.7653999999999996</v>
      </c>
      <c r="AJ93" s="2">
        <v>29.299900000000001</v>
      </c>
      <c r="AK93" s="2">
        <v>223.1</v>
      </c>
      <c r="AL93" s="2">
        <v>0.96240000000000003</v>
      </c>
      <c r="AM93" s="2">
        <v>2.6859999999999999</v>
      </c>
      <c r="AN93" s="2">
        <v>50.7408</v>
      </c>
      <c r="AO93" s="2">
        <v>3.6536</v>
      </c>
      <c r="AP93" s="2">
        <v>32.020600000000002</v>
      </c>
      <c r="AQ93" s="2">
        <v>259.85469999999998</v>
      </c>
    </row>
    <row r="94" spans="1:43" x14ac:dyDescent="0.2">
      <c r="A94" s="3"/>
      <c r="B94" s="5"/>
      <c r="C94" s="3"/>
      <c r="D94" s="3"/>
      <c r="E94" s="3"/>
      <c r="F94" s="3"/>
      <c r="G94" s="2">
        <v>2</v>
      </c>
      <c r="H94" s="2">
        <v>0.96020000000000005</v>
      </c>
      <c r="I94" s="2">
        <v>9.8866999999999994</v>
      </c>
      <c r="J94" s="2">
        <v>29.4358</v>
      </c>
      <c r="K94" s="2">
        <v>99.808599999999998</v>
      </c>
      <c r="L94" s="2">
        <v>239.1514</v>
      </c>
      <c r="M94" s="2">
        <v>345.28399999999999</v>
      </c>
      <c r="N94" s="2">
        <v>0.9849</v>
      </c>
      <c r="O94" s="2">
        <v>6.2344999999999997</v>
      </c>
      <c r="P94" s="2">
        <v>18.642499999999998</v>
      </c>
      <c r="Q94" s="2">
        <v>4.09</v>
      </c>
      <c r="R94" s="2">
        <v>102.09099999999999</v>
      </c>
      <c r="S94" s="2">
        <v>236.4</v>
      </c>
      <c r="T94" s="2">
        <v>0.92400000000000004</v>
      </c>
      <c r="U94" s="2">
        <v>1.9353</v>
      </c>
      <c r="V94" s="2">
        <v>14.9117</v>
      </c>
      <c r="W94" s="2">
        <v>5.2</v>
      </c>
      <c r="X94" s="2">
        <v>21.876999999999999</v>
      </c>
      <c r="Y94" s="2">
        <v>61.925600000000003</v>
      </c>
      <c r="Z94" s="2">
        <v>-7.1348000000000003</v>
      </c>
      <c r="AA94" s="2">
        <v>0.95389999999999997</v>
      </c>
      <c r="AB94" s="2">
        <v>22.379000000000001</v>
      </c>
      <c r="AC94" s="2">
        <v>-2.379</v>
      </c>
      <c r="AD94" s="2">
        <v>0.39240000000000003</v>
      </c>
      <c r="AE94" s="2">
        <v>20</v>
      </c>
      <c r="AF94" s="2">
        <v>0.90569999999999995</v>
      </c>
      <c r="AG94" s="2">
        <v>2.6608000000000001</v>
      </c>
      <c r="AH94" s="2">
        <v>20.8352</v>
      </c>
      <c r="AI94" s="2">
        <v>5.6707999999999998</v>
      </c>
      <c r="AJ94" s="2">
        <v>24.614999999999998</v>
      </c>
      <c r="AK94" s="2">
        <v>92.652699999999996</v>
      </c>
      <c r="AL94" s="2">
        <v>0.73760000000000003</v>
      </c>
      <c r="AM94" s="2">
        <v>5.2790999999999997</v>
      </c>
      <c r="AN94" s="2">
        <v>67.115300000000005</v>
      </c>
      <c r="AO94" s="2">
        <v>5.6707999999999998</v>
      </c>
      <c r="AP94" s="2">
        <v>27.445499999999999</v>
      </c>
      <c r="AQ94" s="2">
        <v>150.3073</v>
      </c>
    </row>
    <row r="95" spans="1:43" x14ac:dyDescent="0.2">
      <c r="A95" s="3"/>
      <c r="B95" s="6"/>
      <c r="C95" s="3"/>
      <c r="D95" s="3"/>
      <c r="E95" s="3"/>
      <c r="F95" s="3"/>
      <c r="G95" s="2" t="s">
        <v>47</v>
      </c>
      <c r="H95" s="2">
        <v>0.95630000000000004</v>
      </c>
      <c r="I95" s="2">
        <v>15.2822</v>
      </c>
      <c r="J95" s="2">
        <v>62.018900000000002</v>
      </c>
      <c r="K95" s="2">
        <v>30.5488</v>
      </c>
      <c r="L95" s="2">
        <v>240.86580000000001</v>
      </c>
      <c r="M95" s="2">
        <v>365.18400000000003</v>
      </c>
      <c r="N95" s="2">
        <v>0.98819999999999997</v>
      </c>
      <c r="O95" s="2">
        <v>6.3502000000000001</v>
      </c>
      <c r="P95" s="2">
        <v>44.085999999999999</v>
      </c>
      <c r="Q95" s="2">
        <v>-15.309900000000001</v>
      </c>
      <c r="R95" s="2">
        <v>101.7067</v>
      </c>
      <c r="S95" s="2">
        <v>290.03579999999999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">
      <c r="A96" s="3"/>
      <c r="B96" s="4" t="s">
        <v>71</v>
      </c>
      <c r="C96" s="3" t="s">
        <v>44</v>
      </c>
      <c r="D96" s="3" t="s">
        <v>43</v>
      </c>
      <c r="E96" s="3" t="s">
        <v>44</v>
      </c>
      <c r="F96" s="3" t="s">
        <v>45</v>
      </c>
      <c r="G96" s="2">
        <v>1</v>
      </c>
      <c r="H96" s="2">
        <v>0.99960000000000004</v>
      </c>
      <c r="I96" s="2">
        <v>1.3922000000000001</v>
      </c>
      <c r="J96" s="2">
        <v>7.5907999999999998</v>
      </c>
      <c r="K96" s="2">
        <v>30.5488</v>
      </c>
      <c r="L96" s="2">
        <v>226.64619999999999</v>
      </c>
      <c r="M96" s="2">
        <v>350.98399999999998</v>
      </c>
      <c r="N96" s="2">
        <v>0.99939999999999996</v>
      </c>
      <c r="O96" s="2">
        <v>1.4381999999999999</v>
      </c>
      <c r="P96" s="2">
        <v>8.9947999999999997</v>
      </c>
      <c r="Q96" s="2">
        <v>-10.204599999999999</v>
      </c>
      <c r="R96" s="2">
        <v>110.6088</v>
      </c>
      <c r="S96" s="2">
        <v>290.03579999999999</v>
      </c>
      <c r="T96" s="2">
        <v>0.99890000000000001</v>
      </c>
      <c r="U96" s="2">
        <v>0.29849999999999999</v>
      </c>
      <c r="V96" s="2">
        <v>6.3830999999999998</v>
      </c>
      <c r="W96" s="2">
        <v>1.0542</v>
      </c>
      <c r="X96" s="2">
        <v>23.929300000000001</v>
      </c>
      <c r="Y96" s="2">
        <v>105.86490000000001</v>
      </c>
      <c r="Z96" s="2">
        <v>0.84389999999999998</v>
      </c>
      <c r="AA96" s="2">
        <v>0.1166</v>
      </c>
      <c r="AB96" s="2">
        <v>8.6649999999999991</v>
      </c>
      <c r="AC96" s="2">
        <v>-3.9</v>
      </c>
      <c r="AD96" s="2">
        <v>0.21299999999999999</v>
      </c>
      <c r="AE96" s="2">
        <v>12.5</v>
      </c>
      <c r="AF96" s="2">
        <v>0.999</v>
      </c>
      <c r="AG96" s="2">
        <v>0.35110000000000002</v>
      </c>
      <c r="AH96" s="2">
        <v>8.3885000000000005</v>
      </c>
      <c r="AI96" s="2">
        <v>5.0521000000000003</v>
      </c>
      <c r="AJ96" s="2">
        <v>27.029299999999999</v>
      </c>
      <c r="AK96" s="2">
        <v>215.6</v>
      </c>
      <c r="AL96" s="2">
        <v>0.97809999999999997</v>
      </c>
      <c r="AM96" s="2">
        <v>1.3521000000000001</v>
      </c>
      <c r="AN96" s="2">
        <v>34.296399999999998</v>
      </c>
      <c r="AO96" s="2">
        <v>5.0521000000000003</v>
      </c>
      <c r="AP96" s="2">
        <v>29.345300000000002</v>
      </c>
      <c r="AQ96" s="2">
        <v>259.85469999999998</v>
      </c>
    </row>
    <row r="97" spans="1:43" x14ac:dyDescent="0.2">
      <c r="A97" s="3"/>
      <c r="B97" s="5"/>
      <c r="C97" s="3"/>
      <c r="D97" s="3"/>
      <c r="E97" s="3"/>
      <c r="F97" s="3"/>
      <c r="G97" s="2">
        <v>2</v>
      </c>
      <c r="H97" s="2">
        <v>0.99280000000000002</v>
      </c>
      <c r="I97" s="2">
        <v>5.4776999999999996</v>
      </c>
      <c r="J97" s="2">
        <v>10.257899999999999</v>
      </c>
      <c r="K97" s="2">
        <v>94.383600000000001</v>
      </c>
      <c r="L97" s="2">
        <v>235.9907</v>
      </c>
      <c r="M97" s="2">
        <v>349.63400000000001</v>
      </c>
      <c r="N97" s="2">
        <v>0.99890000000000001</v>
      </c>
      <c r="O97" s="2">
        <v>1.6807000000000001</v>
      </c>
      <c r="P97" s="2">
        <v>7.2401</v>
      </c>
      <c r="Q97" s="2">
        <v>0.98</v>
      </c>
      <c r="R97" s="2">
        <v>101.4385</v>
      </c>
      <c r="S97" s="2">
        <v>234.90100000000001</v>
      </c>
      <c r="T97" s="2">
        <v>0.9536</v>
      </c>
      <c r="U97" s="2">
        <v>1.4244000000000001</v>
      </c>
      <c r="V97" s="2">
        <v>9.8430999999999997</v>
      </c>
      <c r="W97" s="2">
        <v>6.4703999999999997</v>
      </c>
      <c r="X97" s="2">
        <v>20.991199999999999</v>
      </c>
      <c r="Y97" s="2">
        <v>72.126999999999995</v>
      </c>
      <c r="Z97" s="2">
        <v>-1.462</v>
      </c>
      <c r="AA97" s="2">
        <v>0.63119999999999998</v>
      </c>
      <c r="AB97" s="2">
        <v>7.6436999999999999</v>
      </c>
      <c r="AC97" s="2">
        <v>-3.2</v>
      </c>
      <c r="AD97" s="2">
        <v>8.8499999999999995E-2</v>
      </c>
      <c r="AE97" s="2">
        <v>6.2436999999999996</v>
      </c>
      <c r="AF97" s="2">
        <v>0.8881</v>
      </c>
      <c r="AG97" s="2">
        <v>2.3757999999999999</v>
      </c>
      <c r="AH97" s="2">
        <v>14.8817</v>
      </c>
      <c r="AI97" s="2">
        <v>5.6707999999999998</v>
      </c>
      <c r="AJ97" s="2">
        <v>23.3505</v>
      </c>
      <c r="AK97" s="2">
        <v>92.652699999999996</v>
      </c>
      <c r="AL97" s="2">
        <v>0.4405</v>
      </c>
      <c r="AM97" s="2">
        <v>4.4107000000000003</v>
      </c>
      <c r="AN97" s="2">
        <v>80.398799999999994</v>
      </c>
      <c r="AO97" s="2">
        <v>5.6707999999999998</v>
      </c>
      <c r="AP97" s="2">
        <v>25.393999999999998</v>
      </c>
      <c r="AQ97" s="2">
        <v>158.99879999999999</v>
      </c>
    </row>
    <row r="98" spans="1:43" x14ac:dyDescent="0.2">
      <c r="A98" s="3"/>
      <c r="B98" s="6"/>
      <c r="C98" s="3"/>
      <c r="D98" s="3"/>
      <c r="E98" s="3"/>
      <c r="F98" s="3"/>
      <c r="G98" s="2" t="s">
        <v>47</v>
      </c>
      <c r="H98" s="2">
        <v>0.99929999999999997</v>
      </c>
      <c r="I98" s="2">
        <v>1.6452</v>
      </c>
      <c r="J98" s="2">
        <v>12.333399999999999</v>
      </c>
      <c r="K98" s="2">
        <v>30.5488</v>
      </c>
      <c r="L98" s="2">
        <v>233.70779999999999</v>
      </c>
      <c r="M98" s="2">
        <v>353.06529999999998</v>
      </c>
      <c r="N98" s="2">
        <v>0.99939999999999996</v>
      </c>
      <c r="O98" s="2">
        <v>1.4331</v>
      </c>
      <c r="P98" s="2">
        <v>8.9947999999999997</v>
      </c>
      <c r="Q98" s="2">
        <v>-10.204599999999999</v>
      </c>
      <c r="R98" s="2">
        <v>103.66419999999999</v>
      </c>
      <c r="S98" s="2">
        <v>290.03579999999999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101" spans="1:43" x14ac:dyDescent="0.2">
      <c r="H101" s="1">
        <f>AVERAGE(H15,H39,H63,H87)</f>
        <v>0.91072500000000001</v>
      </c>
      <c r="I101" s="14">
        <f>AVERAGE(I15/(M15-K15), I39/(M39-K39), I63/(M63-K63), I87/(M87-K87))</f>
        <v>5.4915858904283993E-2</v>
      </c>
      <c r="J101" s="14">
        <f>AVERAGE(J15/(M15-K15), J39/(M39-K39), J63/(M63-K63), J87/(M87-K87))</f>
        <v>0.31953499476048258</v>
      </c>
      <c r="N101" s="1">
        <f>AVERAGE(N15,N39,N63,N87)</f>
        <v>0.94535000000000002</v>
      </c>
      <c r="O101" s="14">
        <f>AVERAGE(O15/(S15-Q15), O39/(S39-Q39), O63/(S63-Q63), O87/(S87-Q87))</f>
        <v>3.258090215109774E-2</v>
      </c>
      <c r="P101" s="14">
        <f>AVERAGE(P15/(S15-Q15), P39/(S39-Q39), P63/(S63-Q63), P87/(S87-Q87))</f>
        <v>0.13084368837544591</v>
      </c>
    </row>
  </sheetData>
  <sortState xmlns:xlrd2="http://schemas.microsoft.com/office/spreadsheetml/2017/richdata2" ref="A3:BC98">
    <sortCondition ref="A2:A98"/>
  </sortState>
  <mergeCells count="167">
    <mergeCell ref="B87:B89"/>
    <mergeCell ref="B90:B92"/>
    <mergeCell ref="B93:B95"/>
    <mergeCell ref="B96:B98"/>
    <mergeCell ref="B66:B68"/>
    <mergeCell ref="B69:B71"/>
    <mergeCell ref="B72:B74"/>
    <mergeCell ref="B75:B80"/>
    <mergeCell ref="B81:B83"/>
    <mergeCell ref="B84:B86"/>
    <mergeCell ref="B45:B47"/>
    <mergeCell ref="B48:B50"/>
    <mergeCell ref="B51:B56"/>
    <mergeCell ref="B57:B59"/>
    <mergeCell ref="B60:B62"/>
    <mergeCell ref="B63:B65"/>
    <mergeCell ref="B24:B26"/>
    <mergeCell ref="B27:B32"/>
    <mergeCell ref="B33:B35"/>
    <mergeCell ref="B36:B38"/>
    <mergeCell ref="B39:B41"/>
    <mergeCell ref="B42:B44"/>
    <mergeCell ref="A1:G1"/>
    <mergeCell ref="B15:B17"/>
    <mergeCell ref="B18:B20"/>
    <mergeCell ref="B21:B23"/>
    <mergeCell ref="B9:B11"/>
    <mergeCell ref="B12:B14"/>
    <mergeCell ref="B3:B8"/>
    <mergeCell ref="T1:Y1"/>
    <mergeCell ref="Z1:AE1"/>
    <mergeCell ref="AF1:AK1"/>
    <mergeCell ref="AL1:AQ1"/>
    <mergeCell ref="H1:M1"/>
    <mergeCell ref="N1:S1"/>
    <mergeCell ref="C93:C95"/>
    <mergeCell ref="D93:D95"/>
    <mergeCell ref="E93:E95"/>
    <mergeCell ref="F93:F95"/>
    <mergeCell ref="C96:C98"/>
    <mergeCell ref="D96:D98"/>
    <mergeCell ref="E96:E98"/>
    <mergeCell ref="F96:F98"/>
    <mergeCell ref="C87:C89"/>
    <mergeCell ref="D87:D89"/>
    <mergeCell ref="E87:E89"/>
    <mergeCell ref="F87:F89"/>
    <mergeCell ref="C90:C92"/>
    <mergeCell ref="D90:D92"/>
    <mergeCell ref="E90:E92"/>
    <mergeCell ref="F90:F92"/>
    <mergeCell ref="C81:C83"/>
    <mergeCell ref="D81:D83"/>
    <mergeCell ref="E81:E83"/>
    <mergeCell ref="F81:F83"/>
    <mergeCell ref="C84:C86"/>
    <mergeCell ref="D84:D86"/>
    <mergeCell ref="E84:E86"/>
    <mergeCell ref="F84:F86"/>
    <mergeCell ref="C75:C77"/>
    <mergeCell ref="D75:D77"/>
    <mergeCell ref="E75:E77"/>
    <mergeCell ref="F75:F77"/>
    <mergeCell ref="C78:C80"/>
    <mergeCell ref="D78:D80"/>
    <mergeCell ref="E78:E80"/>
    <mergeCell ref="F78:F80"/>
    <mergeCell ref="C69:C71"/>
    <mergeCell ref="D69:D71"/>
    <mergeCell ref="E69:E71"/>
    <mergeCell ref="F69:F71"/>
    <mergeCell ref="C72:C74"/>
    <mergeCell ref="D72:D74"/>
    <mergeCell ref="E72:E74"/>
    <mergeCell ref="F72:F74"/>
    <mergeCell ref="C63:C65"/>
    <mergeCell ref="D63:D65"/>
    <mergeCell ref="E63:E65"/>
    <mergeCell ref="F63:F65"/>
    <mergeCell ref="C66:C68"/>
    <mergeCell ref="D66:D68"/>
    <mergeCell ref="E66:E68"/>
    <mergeCell ref="F66:F68"/>
    <mergeCell ref="C57:C59"/>
    <mergeCell ref="D57:D59"/>
    <mergeCell ref="E57:E59"/>
    <mergeCell ref="F57:F59"/>
    <mergeCell ref="C60:C62"/>
    <mergeCell ref="D60:D62"/>
    <mergeCell ref="E60:E62"/>
    <mergeCell ref="F60:F62"/>
    <mergeCell ref="C51:C53"/>
    <mergeCell ref="D51:D53"/>
    <mergeCell ref="E51:E53"/>
    <mergeCell ref="F51:F53"/>
    <mergeCell ref="C54:C56"/>
    <mergeCell ref="D54:D56"/>
    <mergeCell ref="E54:E56"/>
    <mergeCell ref="F54:F56"/>
    <mergeCell ref="C45:C47"/>
    <mergeCell ref="D45:D47"/>
    <mergeCell ref="E45:E47"/>
    <mergeCell ref="F45:F47"/>
    <mergeCell ref="C48:C50"/>
    <mergeCell ref="D48:D50"/>
    <mergeCell ref="E48:E50"/>
    <mergeCell ref="F48:F50"/>
    <mergeCell ref="C39:C41"/>
    <mergeCell ref="D39:D41"/>
    <mergeCell ref="E39:E41"/>
    <mergeCell ref="F39:F41"/>
    <mergeCell ref="C42:C44"/>
    <mergeCell ref="D42:D44"/>
    <mergeCell ref="E42:E44"/>
    <mergeCell ref="F42:F44"/>
    <mergeCell ref="C33:C35"/>
    <mergeCell ref="D33:D35"/>
    <mergeCell ref="E33:E35"/>
    <mergeCell ref="F33:F35"/>
    <mergeCell ref="C36:C38"/>
    <mergeCell ref="D36:D38"/>
    <mergeCell ref="E36:E38"/>
    <mergeCell ref="F36:F38"/>
    <mergeCell ref="C27:C29"/>
    <mergeCell ref="D27:D29"/>
    <mergeCell ref="E27:E29"/>
    <mergeCell ref="F27:F29"/>
    <mergeCell ref="C30:C32"/>
    <mergeCell ref="D30:D32"/>
    <mergeCell ref="E30:E32"/>
    <mergeCell ref="F30:F32"/>
    <mergeCell ref="C21:C23"/>
    <mergeCell ref="C24:C26"/>
    <mergeCell ref="F15:F17"/>
    <mergeCell ref="F18:F20"/>
    <mergeCell ref="F21:F23"/>
    <mergeCell ref="F24:F26"/>
    <mergeCell ref="F3:F5"/>
    <mergeCell ref="F6:F8"/>
    <mergeCell ref="F9:F11"/>
    <mergeCell ref="F12:F14"/>
    <mergeCell ref="C3:C5"/>
    <mergeCell ref="C6:C8"/>
    <mergeCell ref="C9:C11"/>
    <mergeCell ref="C12:C14"/>
    <mergeCell ref="D21:D23"/>
    <mergeCell ref="D24:D26"/>
    <mergeCell ref="E3:E5"/>
    <mergeCell ref="E6:E8"/>
    <mergeCell ref="E9:E11"/>
    <mergeCell ref="E12:E14"/>
    <mergeCell ref="E15:E17"/>
    <mergeCell ref="E18:E20"/>
    <mergeCell ref="E21:E23"/>
    <mergeCell ref="E24:E26"/>
    <mergeCell ref="D3:D5"/>
    <mergeCell ref="D6:D8"/>
    <mergeCell ref="D9:D11"/>
    <mergeCell ref="D12:D14"/>
    <mergeCell ref="D15:D17"/>
    <mergeCell ref="D18:D20"/>
    <mergeCell ref="A3:A26"/>
    <mergeCell ref="A27:A50"/>
    <mergeCell ref="A51:A74"/>
    <mergeCell ref="A75:A98"/>
    <mergeCell ref="C15:C17"/>
    <mergeCell ref="C18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C813-2914-CF43-BEDF-D9408978A034}">
  <dimension ref="A1:S25"/>
  <sheetViews>
    <sheetView zoomScale="135" workbookViewId="0">
      <selection activeCell="U15" sqref="U15"/>
    </sheetView>
  </sheetViews>
  <sheetFormatPr baseColWidth="10" defaultRowHeight="16" x14ac:dyDescent="0.2"/>
  <cols>
    <col min="1" max="1" width="13.5" style="1" bestFit="1" customWidth="1"/>
    <col min="2" max="2" width="13.5" style="1" customWidth="1"/>
    <col min="3" max="5" width="10.83203125" style="1"/>
    <col min="6" max="6" width="11.1640625" style="1" customWidth="1"/>
    <col min="7" max="7" width="19.1640625" style="1" bestFit="1" customWidth="1"/>
    <col min="8" max="9" width="7.1640625" style="1" bestFit="1" customWidth="1"/>
    <col min="10" max="10" width="5.1640625" style="1" bestFit="1" customWidth="1"/>
    <col min="11" max="13" width="7.1640625" style="1" bestFit="1" customWidth="1"/>
    <col min="14" max="16384" width="10.83203125" style="1"/>
  </cols>
  <sheetData>
    <row r="1" spans="1:19" x14ac:dyDescent="0.2">
      <c r="A1" s="7" t="s">
        <v>0</v>
      </c>
      <c r="B1" s="7" t="s">
        <v>65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51</v>
      </c>
      <c r="H1" s="12" t="s">
        <v>50</v>
      </c>
      <c r="I1" s="12"/>
      <c r="J1" s="12" t="s">
        <v>49</v>
      </c>
      <c r="K1" s="12"/>
      <c r="L1" s="12" t="s">
        <v>48</v>
      </c>
      <c r="M1" s="12"/>
    </row>
    <row r="2" spans="1:19" x14ac:dyDescent="0.2">
      <c r="A2" s="3" t="s">
        <v>72</v>
      </c>
      <c r="B2" s="2" t="s">
        <v>70</v>
      </c>
      <c r="C2" s="2" t="s">
        <v>46</v>
      </c>
      <c r="D2" s="2" t="s">
        <v>45</v>
      </c>
      <c r="E2" s="2" t="s">
        <v>46</v>
      </c>
      <c r="F2" s="2" t="s">
        <v>43</v>
      </c>
      <c r="G2" s="3">
        <v>1041</v>
      </c>
      <c r="H2" s="2">
        <v>833</v>
      </c>
      <c r="I2" s="11">
        <v>0.80019999999999991</v>
      </c>
      <c r="J2" s="2">
        <v>24</v>
      </c>
      <c r="K2" s="11">
        <v>2.3099999999999999E-2</v>
      </c>
      <c r="L2" s="2">
        <v>857</v>
      </c>
      <c r="M2" s="11">
        <v>0.82319999999999993</v>
      </c>
      <c r="P2" s="3" t="s">
        <v>66</v>
      </c>
      <c r="Q2" s="2" t="s">
        <v>77</v>
      </c>
      <c r="R2" s="13">
        <f>MIN(M5,M11,M17,M23)</f>
        <v>0.35710000000000003</v>
      </c>
      <c r="S2" s="2" t="s">
        <v>73</v>
      </c>
    </row>
    <row r="3" spans="1:19" x14ac:dyDescent="0.2">
      <c r="A3" s="3"/>
      <c r="B3" s="2" t="s">
        <v>68</v>
      </c>
      <c r="C3" s="2" t="s">
        <v>42</v>
      </c>
      <c r="D3" s="2" t="s">
        <v>45</v>
      </c>
      <c r="E3" s="2" t="s">
        <v>44</v>
      </c>
      <c r="F3" s="2" t="s">
        <v>45</v>
      </c>
      <c r="G3" s="3"/>
      <c r="H3" s="2">
        <v>627</v>
      </c>
      <c r="I3" s="11">
        <v>0.60229999999999995</v>
      </c>
      <c r="J3" s="2">
        <v>41</v>
      </c>
      <c r="K3" s="11">
        <v>3.9399999999999998E-2</v>
      </c>
      <c r="L3" s="2">
        <v>668</v>
      </c>
      <c r="M3" s="11">
        <v>0.64170000000000005</v>
      </c>
      <c r="P3" s="3"/>
      <c r="Q3" s="2" t="s">
        <v>78</v>
      </c>
      <c r="R3" s="13">
        <f>AVERAGE(M5,M11,M17,M23)</f>
        <v>0.52662500000000001</v>
      </c>
      <c r="S3" s="2"/>
    </row>
    <row r="4" spans="1:19" x14ac:dyDescent="0.2">
      <c r="A4" s="3"/>
      <c r="B4" s="2" t="s">
        <v>69</v>
      </c>
      <c r="C4" s="2" t="s">
        <v>42</v>
      </c>
      <c r="D4" s="2" t="s">
        <v>43</v>
      </c>
      <c r="E4" s="2" t="s">
        <v>42</v>
      </c>
      <c r="F4" s="2" t="s">
        <v>45</v>
      </c>
      <c r="G4" s="3"/>
      <c r="H4" s="2">
        <v>711</v>
      </c>
      <c r="I4" s="11">
        <v>0.68299999999999994</v>
      </c>
      <c r="J4" s="2">
        <v>10</v>
      </c>
      <c r="K4" s="11">
        <v>9.5999999999999992E-3</v>
      </c>
      <c r="L4" s="2">
        <v>721</v>
      </c>
      <c r="M4" s="11">
        <v>0.6926000000000001</v>
      </c>
      <c r="P4" s="3"/>
      <c r="Q4" s="2" t="s">
        <v>79</v>
      </c>
      <c r="R4" s="13">
        <f>MAX(M5,M11,M17,M23)</f>
        <v>0.67689999999999995</v>
      </c>
      <c r="S4" s="2" t="s">
        <v>75</v>
      </c>
    </row>
    <row r="5" spans="1:19" x14ac:dyDescent="0.2">
      <c r="A5" s="3"/>
      <c r="B5" s="2" t="s">
        <v>66</v>
      </c>
      <c r="C5" s="2" t="s">
        <v>42</v>
      </c>
      <c r="D5" s="2" t="s">
        <v>43</v>
      </c>
      <c r="E5" s="2" t="s">
        <v>44</v>
      </c>
      <c r="F5" s="2" t="s">
        <v>45</v>
      </c>
      <c r="G5" s="3"/>
      <c r="H5" s="2">
        <v>574</v>
      </c>
      <c r="I5" s="11">
        <v>0.5514</v>
      </c>
      <c r="J5" s="2">
        <v>44</v>
      </c>
      <c r="K5" s="11">
        <v>4.2300000000000004E-2</v>
      </c>
      <c r="L5" s="2">
        <v>618</v>
      </c>
      <c r="M5" s="11">
        <v>0.59370000000000001</v>
      </c>
      <c r="P5" s="3" t="s">
        <v>68</v>
      </c>
      <c r="Q5" s="2" t="s">
        <v>77</v>
      </c>
      <c r="R5" s="13">
        <f>MIN(M3,M9,M15,M21)</f>
        <v>0.33509999999999995</v>
      </c>
      <c r="S5" s="2" t="s">
        <v>73</v>
      </c>
    </row>
    <row r="6" spans="1:19" x14ac:dyDescent="0.2">
      <c r="A6" s="3"/>
      <c r="B6" s="2" t="s">
        <v>67</v>
      </c>
      <c r="C6" s="2" t="s">
        <v>42</v>
      </c>
      <c r="D6" s="2" t="s">
        <v>43</v>
      </c>
      <c r="E6" s="2" t="s">
        <v>44</v>
      </c>
      <c r="F6" s="2" t="s">
        <v>43</v>
      </c>
      <c r="G6" s="3"/>
      <c r="H6" s="2">
        <v>577</v>
      </c>
      <c r="I6" s="11">
        <v>0.55430000000000001</v>
      </c>
      <c r="J6" s="2">
        <v>49</v>
      </c>
      <c r="K6" s="11">
        <v>4.7100000000000003E-2</v>
      </c>
      <c r="L6" s="2">
        <v>626</v>
      </c>
      <c r="M6" s="11">
        <v>0.60130000000000006</v>
      </c>
      <c r="P6" s="3"/>
      <c r="Q6" s="2" t="s">
        <v>78</v>
      </c>
      <c r="R6" s="13">
        <f>AVERAGE(M3,M9,M15,M21)</f>
        <v>0.53117499999999995</v>
      </c>
      <c r="S6" s="2"/>
    </row>
    <row r="7" spans="1:19" x14ac:dyDescent="0.2">
      <c r="A7" s="3"/>
      <c r="B7" s="2" t="s">
        <v>76</v>
      </c>
      <c r="C7" s="2" t="s">
        <v>44</v>
      </c>
      <c r="D7" s="2" t="s">
        <v>43</v>
      </c>
      <c r="E7" s="2" t="s">
        <v>44</v>
      </c>
      <c r="F7" s="2" t="s">
        <v>45</v>
      </c>
      <c r="G7" s="3"/>
      <c r="H7" s="2">
        <v>872</v>
      </c>
      <c r="I7" s="11">
        <v>0.8377</v>
      </c>
      <c r="J7" s="2">
        <v>11</v>
      </c>
      <c r="K7" s="11">
        <v>1.06E-2</v>
      </c>
      <c r="L7" s="2">
        <v>883</v>
      </c>
      <c r="M7" s="11">
        <v>0.84819999999999995</v>
      </c>
      <c r="P7" s="3"/>
      <c r="Q7" s="2" t="s">
        <v>79</v>
      </c>
      <c r="R7" s="13">
        <f>MAX(M3,M9,M15,M21)</f>
        <v>0.6875</v>
      </c>
      <c r="S7" s="2" t="s">
        <v>75</v>
      </c>
    </row>
    <row r="8" spans="1:19" x14ac:dyDescent="0.2">
      <c r="A8" s="3" t="s">
        <v>73</v>
      </c>
      <c r="B8" s="2" t="s">
        <v>70</v>
      </c>
      <c r="C8" s="2" t="s">
        <v>46</v>
      </c>
      <c r="D8" s="2" t="s">
        <v>45</v>
      </c>
      <c r="E8" s="2" t="s">
        <v>46</v>
      </c>
      <c r="F8" s="2" t="s">
        <v>43</v>
      </c>
      <c r="G8" s="3">
        <v>23215</v>
      </c>
      <c r="H8" s="2">
        <v>8018</v>
      </c>
      <c r="I8" s="11">
        <v>0.34539999999999998</v>
      </c>
      <c r="J8" s="2">
        <v>150</v>
      </c>
      <c r="K8" s="11">
        <v>6.5000000000000006E-3</v>
      </c>
      <c r="L8" s="2">
        <v>8168</v>
      </c>
      <c r="M8" s="11">
        <v>0.3518</v>
      </c>
      <c r="P8" s="3" t="s">
        <v>67</v>
      </c>
      <c r="Q8" s="2" t="s">
        <v>77</v>
      </c>
      <c r="R8" s="13">
        <f>MIN(M6,M12,M18,M24)</f>
        <v>0.2394</v>
      </c>
      <c r="S8" s="2" t="s">
        <v>73</v>
      </c>
    </row>
    <row r="9" spans="1:19" x14ac:dyDescent="0.2">
      <c r="A9" s="3"/>
      <c r="B9" s="2" t="s">
        <v>68</v>
      </c>
      <c r="C9" s="2" t="s">
        <v>42</v>
      </c>
      <c r="D9" s="2" t="s">
        <v>45</v>
      </c>
      <c r="E9" s="2" t="s">
        <v>44</v>
      </c>
      <c r="F9" s="2" t="s">
        <v>45</v>
      </c>
      <c r="G9" s="3"/>
      <c r="H9" s="2">
        <v>7534</v>
      </c>
      <c r="I9" s="11">
        <v>0.32450000000000001</v>
      </c>
      <c r="J9" s="2">
        <v>246</v>
      </c>
      <c r="K9" s="11">
        <v>1.06E-2</v>
      </c>
      <c r="L9" s="2">
        <v>7780</v>
      </c>
      <c r="M9" s="11">
        <v>0.33509999999999995</v>
      </c>
      <c r="P9" s="3"/>
      <c r="Q9" s="2" t="s">
        <v>78</v>
      </c>
      <c r="R9" s="13">
        <f>AVERAGE(M6,M12,M18,M24)</f>
        <v>0.50022499999999992</v>
      </c>
      <c r="S9" s="2"/>
    </row>
    <row r="10" spans="1:19" x14ac:dyDescent="0.2">
      <c r="A10" s="3"/>
      <c r="B10" s="2" t="s">
        <v>69</v>
      </c>
      <c r="C10" s="2" t="s">
        <v>42</v>
      </c>
      <c r="D10" s="2" t="s">
        <v>43</v>
      </c>
      <c r="E10" s="2" t="s">
        <v>42</v>
      </c>
      <c r="F10" s="2" t="s">
        <v>45</v>
      </c>
      <c r="G10" s="3"/>
      <c r="H10" s="2">
        <v>15994</v>
      </c>
      <c r="I10" s="11">
        <v>0.68900000000000006</v>
      </c>
      <c r="J10" s="2">
        <v>156</v>
      </c>
      <c r="K10" s="11">
        <v>6.7000000000000002E-3</v>
      </c>
      <c r="L10" s="2">
        <v>16150</v>
      </c>
      <c r="M10" s="11">
        <v>0.69569999999999999</v>
      </c>
      <c r="P10" s="3"/>
      <c r="Q10" s="2" t="s">
        <v>79</v>
      </c>
      <c r="R10" s="13">
        <f>MAX(M6,M12,M18,M24)</f>
        <v>0.68389999999999995</v>
      </c>
      <c r="S10" s="2" t="s">
        <v>75</v>
      </c>
    </row>
    <row r="11" spans="1:19" x14ac:dyDescent="0.2">
      <c r="A11" s="3"/>
      <c r="B11" s="2" t="s">
        <v>66</v>
      </c>
      <c r="C11" s="2" t="s">
        <v>42</v>
      </c>
      <c r="D11" s="2" t="s">
        <v>43</v>
      </c>
      <c r="E11" s="2" t="s">
        <v>44</v>
      </c>
      <c r="F11" s="2" t="s">
        <v>45</v>
      </c>
      <c r="G11" s="3"/>
      <c r="H11" s="2">
        <v>8059</v>
      </c>
      <c r="I11" s="11">
        <v>0.34710000000000002</v>
      </c>
      <c r="J11" s="2">
        <v>231</v>
      </c>
      <c r="K11" s="11">
        <v>0.01</v>
      </c>
      <c r="L11" s="2">
        <v>8290</v>
      </c>
      <c r="M11" s="11">
        <v>0.35710000000000003</v>
      </c>
      <c r="P11" s="3" t="s">
        <v>69</v>
      </c>
      <c r="Q11" s="2" t="s">
        <v>77</v>
      </c>
      <c r="R11" s="13">
        <f>MIN(M4,M10,M16,M22)</f>
        <v>0.66220000000000001</v>
      </c>
      <c r="S11" s="2" t="s">
        <v>74</v>
      </c>
    </row>
    <row r="12" spans="1:19" x14ac:dyDescent="0.2">
      <c r="A12" s="3"/>
      <c r="B12" s="2" t="s">
        <v>67</v>
      </c>
      <c r="C12" s="2" t="s">
        <v>42</v>
      </c>
      <c r="D12" s="2" t="s">
        <v>43</v>
      </c>
      <c r="E12" s="2" t="s">
        <v>44</v>
      </c>
      <c r="F12" s="2" t="s">
        <v>43</v>
      </c>
      <c r="G12" s="3"/>
      <c r="H12" s="2">
        <v>5215</v>
      </c>
      <c r="I12" s="11">
        <v>0.22460000000000002</v>
      </c>
      <c r="J12" s="2">
        <v>343</v>
      </c>
      <c r="K12" s="11">
        <v>1.4800000000000001E-2</v>
      </c>
      <c r="L12" s="2">
        <v>5558</v>
      </c>
      <c r="M12" s="11">
        <v>0.2394</v>
      </c>
      <c r="P12" s="3"/>
      <c r="Q12" s="2" t="s">
        <v>78</v>
      </c>
      <c r="R12" s="13">
        <f>AVERAGE(M4,M10,M16,M22)</f>
        <v>0.69922499999999999</v>
      </c>
      <c r="S12" s="2"/>
    </row>
    <row r="13" spans="1:19" x14ac:dyDescent="0.2">
      <c r="A13" s="3"/>
      <c r="B13" s="2" t="s">
        <v>76</v>
      </c>
      <c r="C13" s="2" t="s">
        <v>44</v>
      </c>
      <c r="D13" s="2" t="s">
        <v>43</v>
      </c>
      <c r="E13" s="2" t="s">
        <v>44</v>
      </c>
      <c r="F13" s="2" t="s">
        <v>45</v>
      </c>
      <c r="G13" s="3"/>
      <c r="H13" s="2">
        <v>10638</v>
      </c>
      <c r="I13" s="11">
        <v>0.4582</v>
      </c>
      <c r="J13" s="2">
        <v>502</v>
      </c>
      <c r="K13" s="11">
        <v>2.1600000000000001E-2</v>
      </c>
      <c r="L13" s="2">
        <v>11140</v>
      </c>
      <c r="M13" s="11">
        <v>0.47989999999999999</v>
      </c>
      <c r="P13" s="3"/>
      <c r="Q13" s="2" t="s">
        <v>79</v>
      </c>
      <c r="R13" s="13">
        <f>MAX(M4,M10,M16,M22)</f>
        <v>0.74639999999999995</v>
      </c>
      <c r="S13" s="2" t="s">
        <v>75</v>
      </c>
    </row>
    <row r="14" spans="1:19" x14ac:dyDescent="0.2">
      <c r="A14" s="3" t="s">
        <v>74</v>
      </c>
      <c r="B14" s="2" t="s">
        <v>70</v>
      </c>
      <c r="C14" s="2" t="s">
        <v>46</v>
      </c>
      <c r="D14" s="2" t="s">
        <v>45</v>
      </c>
      <c r="E14" s="2" t="s">
        <v>46</v>
      </c>
      <c r="F14" s="2" t="s">
        <v>43</v>
      </c>
      <c r="G14" s="3">
        <v>253138</v>
      </c>
      <c r="H14" s="2">
        <v>177720</v>
      </c>
      <c r="I14" s="11">
        <v>0.70209999999999995</v>
      </c>
      <c r="J14" s="2">
        <v>5020</v>
      </c>
      <c r="K14" s="11">
        <v>1.9799999999999998E-2</v>
      </c>
      <c r="L14" s="2">
        <v>182740</v>
      </c>
      <c r="M14" s="11">
        <v>0.72189999999999999</v>
      </c>
      <c r="P14" s="3" t="s">
        <v>76</v>
      </c>
      <c r="Q14" s="2" t="s">
        <v>77</v>
      </c>
      <c r="R14" s="13">
        <f>MIN(M7,M13,M19,M25)</f>
        <v>0.47989999999999999</v>
      </c>
      <c r="S14" s="2" t="s">
        <v>73</v>
      </c>
    </row>
    <row r="15" spans="1:19" x14ac:dyDescent="0.2">
      <c r="A15" s="3"/>
      <c r="B15" s="2" t="s">
        <v>68</v>
      </c>
      <c r="C15" s="2" t="s">
        <v>42</v>
      </c>
      <c r="D15" s="2" t="s">
        <v>45</v>
      </c>
      <c r="E15" s="2" t="s">
        <v>44</v>
      </c>
      <c r="F15" s="2" t="s">
        <v>45</v>
      </c>
      <c r="G15" s="3"/>
      <c r="H15" s="2">
        <v>114207</v>
      </c>
      <c r="I15" s="11">
        <v>0.45119999999999999</v>
      </c>
      <c r="J15" s="2">
        <v>2337</v>
      </c>
      <c r="K15" s="11">
        <v>9.1999999999999998E-3</v>
      </c>
      <c r="L15" s="2">
        <v>116544</v>
      </c>
      <c r="M15" s="11">
        <v>0.46039999999999998</v>
      </c>
      <c r="P15" s="3"/>
      <c r="Q15" s="2" t="s">
        <v>78</v>
      </c>
      <c r="R15" s="13">
        <f>AVERAGE(M7,M13,M19,M25)</f>
        <v>0.73887499999999995</v>
      </c>
      <c r="S15" s="2"/>
    </row>
    <row r="16" spans="1:19" x14ac:dyDescent="0.2">
      <c r="A16" s="3"/>
      <c r="B16" s="2" t="s">
        <v>69</v>
      </c>
      <c r="C16" s="2" t="s">
        <v>42</v>
      </c>
      <c r="D16" s="2" t="s">
        <v>43</v>
      </c>
      <c r="E16" s="2" t="s">
        <v>42</v>
      </c>
      <c r="F16" s="2" t="s">
        <v>45</v>
      </c>
      <c r="G16" s="3"/>
      <c r="H16" s="2">
        <v>163216</v>
      </c>
      <c r="I16" s="11">
        <v>0.64480000000000004</v>
      </c>
      <c r="J16" s="2">
        <v>4407</v>
      </c>
      <c r="K16" s="11">
        <v>1.7399999999999999E-2</v>
      </c>
      <c r="L16" s="2">
        <v>167623</v>
      </c>
      <c r="M16" s="11">
        <v>0.66220000000000001</v>
      </c>
      <c r="P16" s="3"/>
      <c r="Q16" s="2" t="s">
        <v>79</v>
      </c>
      <c r="R16" s="13">
        <f>MAX(M7,M13,M19,M25)</f>
        <v>0.87639999999999996</v>
      </c>
      <c r="S16" s="2" t="s">
        <v>75</v>
      </c>
    </row>
    <row r="17" spans="1:19" x14ac:dyDescent="0.2">
      <c r="A17" s="3"/>
      <c r="B17" s="2" t="s">
        <v>66</v>
      </c>
      <c r="C17" s="2" t="s">
        <v>42</v>
      </c>
      <c r="D17" s="2" t="s">
        <v>43</v>
      </c>
      <c r="E17" s="2" t="s">
        <v>44</v>
      </c>
      <c r="F17" s="2" t="s">
        <v>45</v>
      </c>
      <c r="G17" s="3"/>
      <c r="H17" s="2">
        <v>117523</v>
      </c>
      <c r="I17" s="11">
        <v>0.46429999999999999</v>
      </c>
      <c r="J17" s="2">
        <v>3681</v>
      </c>
      <c r="K17" s="11">
        <v>1.4499999999999999E-2</v>
      </c>
      <c r="L17" s="2">
        <v>121204</v>
      </c>
      <c r="M17" s="11">
        <v>0.4788</v>
      </c>
      <c r="P17" s="3" t="s">
        <v>70</v>
      </c>
      <c r="Q17" s="2" t="s">
        <v>77</v>
      </c>
      <c r="R17" s="13">
        <f>MIN(M2,M8,M14,M20)</f>
        <v>0.3518</v>
      </c>
      <c r="S17" s="2" t="s">
        <v>73</v>
      </c>
    </row>
    <row r="18" spans="1:19" x14ac:dyDescent="0.2">
      <c r="A18" s="3"/>
      <c r="B18" s="2" t="s">
        <v>67</v>
      </c>
      <c r="C18" s="2" t="s">
        <v>42</v>
      </c>
      <c r="D18" s="2" t="s">
        <v>43</v>
      </c>
      <c r="E18" s="2" t="s">
        <v>44</v>
      </c>
      <c r="F18" s="2" t="s">
        <v>43</v>
      </c>
      <c r="G18" s="3"/>
      <c r="H18" s="2">
        <v>117955</v>
      </c>
      <c r="I18" s="11">
        <v>0.46600000000000003</v>
      </c>
      <c r="J18" s="2">
        <v>2603</v>
      </c>
      <c r="K18" s="11">
        <v>1.03E-2</v>
      </c>
      <c r="L18" s="2">
        <v>120558</v>
      </c>
      <c r="M18" s="11">
        <v>0.4763</v>
      </c>
      <c r="P18" s="3"/>
      <c r="Q18" s="2" t="s">
        <v>78</v>
      </c>
      <c r="R18" s="13">
        <f>AVERAGE(M2,M8,M14,M20)</f>
        <v>0.68419999999999992</v>
      </c>
      <c r="S18" s="2"/>
    </row>
    <row r="19" spans="1:19" x14ac:dyDescent="0.2">
      <c r="A19" s="3"/>
      <c r="B19" s="2" t="s">
        <v>76</v>
      </c>
      <c r="C19" s="2" t="s">
        <v>44</v>
      </c>
      <c r="D19" s="2" t="s">
        <v>43</v>
      </c>
      <c r="E19" s="2" t="s">
        <v>44</v>
      </c>
      <c r="F19" s="2" t="s">
        <v>45</v>
      </c>
      <c r="G19" s="3"/>
      <c r="H19" s="2">
        <v>186242</v>
      </c>
      <c r="I19" s="11">
        <v>0.73569999999999991</v>
      </c>
      <c r="J19" s="2">
        <v>3870</v>
      </c>
      <c r="K19" s="11">
        <v>1.5300000000000001E-2</v>
      </c>
      <c r="L19" s="2">
        <v>190112</v>
      </c>
      <c r="M19" s="11">
        <v>0.75099999999999989</v>
      </c>
      <c r="P19" s="3"/>
      <c r="Q19" s="2" t="s">
        <v>79</v>
      </c>
      <c r="R19" s="13">
        <f>MAX(M2,M8,M14,M20)</f>
        <v>0.83989999999999998</v>
      </c>
      <c r="S19" s="2" t="s">
        <v>75</v>
      </c>
    </row>
    <row r="20" spans="1:19" x14ac:dyDescent="0.2">
      <c r="A20" s="3" t="s">
        <v>75</v>
      </c>
      <c r="B20" s="2" t="s">
        <v>70</v>
      </c>
      <c r="C20" s="2" t="s">
        <v>46</v>
      </c>
      <c r="D20" s="2" t="s">
        <v>45</v>
      </c>
      <c r="E20" s="2" t="s">
        <v>46</v>
      </c>
      <c r="F20" s="2" t="s">
        <v>43</v>
      </c>
      <c r="G20" s="3">
        <v>4515</v>
      </c>
      <c r="H20" s="2">
        <v>3544</v>
      </c>
      <c r="I20" s="11">
        <v>0.78489999999999993</v>
      </c>
      <c r="J20" s="2">
        <v>248</v>
      </c>
      <c r="K20" s="11">
        <v>5.4900000000000004E-2</v>
      </c>
      <c r="L20" s="2">
        <v>3792</v>
      </c>
      <c r="M20" s="11">
        <v>0.83989999999999998</v>
      </c>
    </row>
    <row r="21" spans="1:19" x14ac:dyDescent="0.2">
      <c r="A21" s="3"/>
      <c r="B21" s="2" t="s">
        <v>68</v>
      </c>
      <c r="C21" s="2" t="s">
        <v>42</v>
      </c>
      <c r="D21" s="2" t="s">
        <v>45</v>
      </c>
      <c r="E21" s="2" t="s">
        <v>44</v>
      </c>
      <c r="F21" s="2" t="s">
        <v>45</v>
      </c>
      <c r="G21" s="3"/>
      <c r="H21" s="2">
        <v>3088</v>
      </c>
      <c r="I21" s="11">
        <v>0.68389999999999995</v>
      </c>
      <c r="J21" s="2">
        <v>16</v>
      </c>
      <c r="K21" s="11">
        <v>3.4999999999999996E-3</v>
      </c>
      <c r="L21" s="2">
        <v>3104</v>
      </c>
      <c r="M21" s="11">
        <v>0.6875</v>
      </c>
    </row>
    <row r="22" spans="1:19" x14ac:dyDescent="0.2">
      <c r="A22" s="3"/>
      <c r="B22" s="2" t="s">
        <v>69</v>
      </c>
      <c r="C22" s="2" t="s">
        <v>42</v>
      </c>
      <c r="D22" s="2" t="s">
        <v>43</v>
      </c>
      <c r="E22" s="2" t="s">
        <v>42</v>
      </c>
      <c r="F22" s="2" t="s">
        <v>45</v>
      </c>
      <c r="G22" s="3"/>
      <c r="H22" s="2">
        <v>3292</v>
      </c>
      <c r="I22" s="11">
        <v>0.72909999999999997</v>
      </c>
      <c r="J22" s="2">
        <v>78</v>
      </c>
      <c r="K22" s="11">
        <v>1.7299999999999999E-2</v>
      </c>
      <c r="L22" s="2">
        <v>3370</v>
      </c>
      <c r="M22" s="11">
        <v>0.74639999999999995</v>
      </c>
    </row>
    <row r="23" spans="1:19" x14ac:dyDescent="0.2">
      <c r="A23" s="3"/>
      <c r="B23" s="2" t="s">
        <v>66</v>
      </c>
      <c r="C23" s="2" t="s">
        <v>42</v>
      </c>
      <c r="D23" s="2" t="s">
        <v>43</v>
      </c>
      <c r="E23" s="2" t="s">
        <v>44</v>
      </c>
      <c r="F23" s="2" t="s">
        <v>45</v>
      </c>
      <c r="G23" s="3"/>
      <c r="H23" s="2">
        <v>2976</v>
      </c>
      <c r="I23" s="11">
        <v>0.65910000000000002</v>
      </c>
      <c r="J23" s="2">
        <v>80</v>
      </c>
      <c r="K23" s="11">
        <v>1.77E-2</v>
      </c>
      <c r="L23" s="2">
        <v>3056</v>
      </c>
      <c r="M23" s="11">
        <v>0.67689999999999995</v>
      </c>
    </row>
    <row r="24" spans="1:19" x14ac:dyDescent="0.2">
      <c r="A24" s="3"/>
      <c r="B24" s="2" t="s">
        <v>67</v>
      </c>
      <c r="C24" s="2" t="s">
        <v>42</v>
      </c>
      <c r="D24" s="2" t="s">
        <v>43</v>
      </c>
      <c r="E24" s="2" t="s">
        <v>44</v>
      </c>
      <c r="F24" s="2" t="s">
        <v>43</v>
      </c>
      <c r="G24" s="3"/>
      <c r="H24" s="2">
        <v>3053</v>
      </c>
      <c r="I24" s="11">
        <v>0.67620000000000002</v>
      </c>
      <c r="J24" s="2">
        <v>35</v>
      </c>
      <c r="K24" s="11">
        <v>7.8000000000000005E-3</v>
      </c>
      <c r="L24" s="2">
        <v>3088</v>
      </c>
      <c r="M24" s="11">
        <v>0.68389999999999995</v>
      </c>
    </row>
    <row r="25" spans="1:19" x14ac:dyDescent="0.2">
      <c r="A25" s="3"/>
      <c r="B25" s="2" t="s">
        <v>76</v>
      </c>
      <c r="C25" s="2" t="s">
        <v>44</v>
      </c>
      <c r="D25" s="2" t="s">
        <v>43</v>
      </c>
      <c r="E25" s="2" t="s">
        <v>44</v>
      </c>
      <c r="F25" s="2" t="s">
        <v>45</v>
      </c>
      <c r="G25" s="3"/>
      <c r="H25" s="2">
        <v>3879</v>
      </c>
      <c r="I25" s="11">
        <v>0.85909999999999997</v>
      </c>
      <c r="J25" s="2">
        <v>78</v>
      </c>
      <c r="K25" s="11">
        <v>1.7299999999999999E-2</v>
      </c>
      <c r="L25" s="2">
        <v>3957</v>
      </c>
      <c r="M25" s="11">
        <v>0.87639999999999996</v>
      </c>
    </row>
  </sheetData>
  <sortState xmlns:xlrd2="http://schemas.microsoft.com/office/spreadsheetml/2017/richdata2" ref="A1:M25">
    <sortCondition ref="A1:A25"/>
  </sortState>
  <mergeCells count="17">
    <mergeCell ref="P11:P13"/>
    <mergeCell ref="P14:P16"/>
    <mergeCell ref="P17:P19"/>
    <mergeCell ref="H1:I1"/>
    <mergeCell ref="J1:K1"/>
    <mergeCell ref="L1:M1"/>
    <mergeCell ref="P2:P4"/>
    <mergeCell ref="P5:P7"/>
    <mergeCell ref="P8:P10"/>
    <mergeCell ref="G2:G7"/>
    <mergeCell ref="G8:G13"/>
    <mergeCell ref="G14:G19"/>
    <mergeCell ref="G20:G25"/>
    <mergeCell ref="A2:A7"/>
    <mergeCell ref="A8:A13"/>
    <mergeCell ref="A14:A19"/>
    <mergeCell ref="A20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C82C-DEE3-DD4B-895D-810E795EA2FE}">
  <dimension ref="A1:J23"/>
  <sheetViews>
    <sheetView tabSelected="1" zoomScale="187" workbookViewId="0">
      <selection activeCell="E31" sqref="E31"/>
    </sheetView>
  </sheetViews>
  <sheetFormatPr baseColWidth="10" defaultRowHeight="16" x14ac:dyDescent="0.2"/>
  <cols>
    <col min="1" max="4" width="10.83203125" style="1"/>
    <col min="5" max="5" width="9.1640625" style="1" bestFit="1" customWidth="1"/>
    <col min="6" max="6" width="10.1640625" style="1" bestFit="1" customWidth="1"/>
    <col min="7" max="7" width="8" style="1" bestFit="1" customWidth="1"/>
    <col min="8" max="10" width="10.1640625" style="1" bestFit="1" customWidth="1"/>
    <col min="11" max="16384" width="10.83203125" style="1"/>
  </cols>
  <sheetData>
    <row r="1" spans="1:10" x14ac:dyDescent="0.2">
      <c r="A1" s="8" t="s">
        <v>0</v>
      </c>
      <c r="B1" s="8" t="s">
        <v>1</v>
      </c>
      <c r="C1" s="8" t="s">
        <v>3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</row>
    <row r="2" spans="1:10" x14ac:dyDescent="0.2">
      <c r="A2" s="9" t="s">
        <v>72</v>
      </c>
      <c r="B2" s="10" t="s">
        <v>42</v>
      </c>
      <c r="C2" s="10" t="s">
        <v>44</v>
      </c>
      <c r="D2" s="10">
        <v>0.89100000000000001</v>
      </c>
      <c r="E2" s="10">
        <v>153.6078</v>
      </c>
      <c r="F2" s="10">
        <v>3330.3809999999999</v>
      </c>
      <c r="G2" s="10">
        <v>0</v>
      </c>
      <c r="H2" s="10">
        <v>593.25210000000004</v>
      </c>
      <c r="I2" s="10">
        <v>738.86900000000003</v>
      </c>
      <c r="J2" s="10">
        <v>15442.277</v>
      </c>
    </row>
    <row r="3" spans="1:10" x14ac:dyDescent="0.2">
      <c r="A3" s="9"/>
      <c r="B3" s="10" t="s">
        <v>44</v>
      </c>
      <c r="C3" s="10" t="s">
        <v>42</v>
      </c>
      <c r="D3" s="10">
        <v>0.88229999999999997</v>
      </c>
      <c r="E3" s="10">
        <v>153.6078</v>
      </c>
      <c r="F3" s="10">
        <v>3330.3809999999999</v>
      </c>
      <c r="G3" s="10">
        <v>0</v>
      </c>
      <c r="H3" s="10">
        <v>593.25210000000004</v>
      </c>
      <c r="I3" s="10">
        <v>738.86900000000003</v>
      </c>
      <c r="J3" s="10">
        <v>15442.277</v>
      </c>
    </row>
    <row r="4" spans="1:10" x14ac:dyDescent="0.2">
      <c r="A4" s="9"/>
      <c r="B4" s="10" t="s">
        <v>42</v>
      </c>
      <c r="C4" s="10" t="s">
        <v>42</v>
      </c>
      <c r="D4" s="10">
        <v>1</v>
      </c>
      <c r="E4" s="10">
        <v>0</v>
      </c>
      <c r="F4" s="10">
        <v>0</v>
      </c>
      <c r="G4" s="10">
        <v>0</v>
      </c>
      <c r="H4" s="10">
        <v>636.8451</v>
      </c>
      <c r="I4" s="10">
        <v>750.69439999999997</v>
      </c>
      <c r="J4" s="10">
        <v>13497.684999999999</v>
      </c>
    </row>
    <row r="5" spans="1:10" x14ac:dyDescent="0.2">
      <c r="A5" s="9"/>
      <c r="B5" s="10" t="s">
        <v>44</v>
      </c>
      <c r="C5" s="10" t="s">
        <v>44</v>
      </c>
      <c r="D5" s="10">
        <v>1</v>
      </c>
      <c r="E5" s="10">
        <v>0</v>
      </c>
      <c r="F5" s="10">
        <v>0</v>
      </c>
      <c r="G5" s="10">
        <v>0</v>
      </c>
      <c r="H5" s="10">
        <v>546.00969999999995</v>
      </c>
      <c r="I5" s="10">
        <v>723.15769999999998</v>
      </c>
      <c r="J5" s="10">
        <v>15442.2</v>
      </c>
    </row>
    <row r="6" spans="1:10" x14ac:dyDescent="0.2">
      <c r="A6" s="9" t="s">
        <v>73</v>
      </c>
      <c r="B6" s="10" t="s">
        <v>42</v>
      </c>
      <c r="C6" s="10" t="s">
        <v>44</v>
      </c>
      <c r="D6" s="10">
        <v>0.86629999999999996</v>
      </c>
      <c r="E6" s="10">
        <v>509.35300000000001</v>
      </c>
      <c r="F6" s="10">
        <v>24765.098999999998</v>
      </c>
      <c r="G6" s="10">
        <v>0</v>
      </c>
      <c r="H6" s="10">
        <v>1263.7374</v>
      </c>
      <c r="I6" s="10">
        <v>2981.268</v>
      </c>
      <c r="J6" s="10">
        <v>48640.1</v>
      </c>
    </row>
    <row r="7" spans="1:10" x14ac:dyDescent="0.2">
      <c r="A7" s="9"/>
      <c r="B7" s="10" t="s">
        <v>44</v>
      </c>
      <c r="C7" s="10" t="s">
        <v>42</v>
      </c>
      <c r="D7" s="10">
        <v>0.78400000000000003</v>
      </c>
      <c r="E7" s="10">
        <v>509.35300000000001</v>
      </c>
      <c r="F7" s="10">
        <v>24765.098999999998</v>
      </c>
      <c r="G7" s="10">
        <v>0</v>
      </c>
      <c r="H7" s="10">
        <v>1263.7374</v>
      </c>
      <c r="I7" s="10">
        <v>2981.268</v>
      </c>
      <c r="J7" s="10">
        <v>48640.1</v>
      </c>
    </row>
    <row r="8" spans="1:10" x14ac:dyDescent="0.2">
      <c r="A8" s="9"/>
      <c r="B8" s="10" t="s">
        <v>42</v>
      </c>
      <c r="C8" s="10" t="s">
        <v>42</v>
      </c>
      <c r="D8" s="10">
        <v>1</v>
      </c>
      <c r="E8" s="10">
        <v>0</v>
      </c>
      <c r="F8" s="10">
        <v>0</v>
      </c>
      <c r="G8" s="10">
        <v>0</v>
      </c>
      <c r="H8" s="10">
        <v>2127.0169999999998</v>
      </c>
      <c r="I8" s="10">
        <v>4516.5775000000003</v>
      </c>
      <c r="J8" s="10">
        <v>48640.133000000002</v>
      </c>
    </row>
    <row r="9" spans="1:10" x14ac:dyDescent="0.2">
      <c r="A9" s="9"/>
      <c r="B9" s="10" t="s">
        <v>44</v>
      </c>
      <c r="C9" s="10" t="s">
        <v>44</v>
      </c>
      <c r="D9" s="10">
        <v>1</v>
      </c>
      <c r="E9" s="10">
        <v>0</v>
      </c>
      <c r="F9" s="10">
        <v>0</v>
      </c>
      <c r="G9" s="10">
        <v>0</v>
      </c>
      <c r="H9" s="10">
        <v>1043.2438999999999</v>
      </c>
      <c r="I9" s="10">
        <v>2600.1131999999998</v>
      </c>
      <c r="J9" s="10">
        <v>42656.5</v>
      </c>
    </row>
    <row r="10" spans="1:10" x14ac:dyDescent="0.2">
      <c r="A10" s="9" t="s">
        <v>75</v>
      </c>
      <c r="B10" s="10" t="s">
        <v>42</v>
      </c>
      <c r="C10" s="10" t="s">
        <v>44</v>
      </c>
      <c r="D10" s="10">
        <v>0.9456</v>
      </c>
      <c r="E10" s="10">
        <v>64.257300000000001</v>
      </c>
      <c r="F10" s="10">
        <v>8014.2470000000003</v>
      </c>
      <c r="G10" s="10">
        <v>0</v>
      </c>
      <c r="H10" s="10">
        <v>300.17219999999998</v>
      </c>
      <c r="I10" s="10">
        <v>787.4828</v>
      </c>
      <c r="J10" s="10">
        <v>34513.550000000003</v>
      </c>
    </row>
    <row r="11" spans="1:10" x14ac:dyDescent="0.2">
      <c r="A11" s="9"/>
      <c r="B11" s="10" t="s">
        <v>44</v>
      </c>
      <c r="C11" s="10" t="s">
        <v>42</v>
      </c>
      <c r="D11" s="10">
        <v>0.9587</v>
      </c>
      <c r="E11" s="10">
        <v>64.257300000000001</v>
      </c>
      <c r="F11" s="10">
        <v>8014.2470000000003</v>
      </c>
      <c r="G11" s="10">
        <v>0</v>
      </c>
      <c r="H11" s="10">
        <v>300.17219999999998</v>
      </c>
      <c r="I11" s="10">
        <v>787.4828</v>
      </c>
      <c r="J11" s="10">
        <v>34513.550000000003</v>
      </c>
    </row>
    <row r="12" spans="1:10" x14ac:dyDescent="0.2">
      <c r="A12" s="9"/>
      <c r="B12" s="10" t="s">
        <v>42</v>
      </c>
      <c r="C12" s="10" t="s">
        <v>42</v>
      </c>
      <c r="D12" s="10">
        <v>1</v>
      </c>
      <c r="E12" s="10">
        <v>0</v>
      </c>
      <c r="F12" s="10">
        <v>0</v>
      </c>
      <c r="G12" s="10">
        <v>0</v>
      </c>
      <c r="H12" s="10">
        <v>275.47739999999999</v>
      </c>
      <c r="I12" s="10">
        <v>709.18449999999996</v>
      </c>
      <c r="J12" s="10">
        <v>29088.417000000001</v>
      </c>
    </row>
    <row r="13" spans="1:10" x14ac:dyDescent="0.2">
      <c r="A13" s="9"/>
      <c r="B13" s="10" t="s">
        <v>44</v>
      </c>
      <c r="C13" s="10" t="s">
        <v>44</v>
      </c>
      <c r="D13" s="10">
        <v>1</v>
      </c>
      <c r="E13" s="10">
        <v>0</v>
      </c>
      <c r="F13" s="10">
        <v>0</v>
      </c>
      <c r="G13" s="10">
        <v>0</v>
      </c>
      <c r="H13" s="10">
        <v>303.92500000000001</v>
      </c>
      <c r="I13" s="10">
        <v>839.79679999999996</v>
      </c>
      <c r="J13" s="10">
        <v>34513.5</v>
      </c>
    </row>
    <row r="14" spans="1:10" x14ac:dyDescent="0.2">
      <c r="A14" s="9" t="s">
        <v>74</v>
      </c>
      <c r="B14" s="10" t="s">
        <v>42</v>
      </c>
      <c r="C14" s="10" t="s">
        <v>44</v>
      </c>
      <c r="D14" s="10">
        <v>0.91339999999999999</v>
      </c>
      <c r="E14" s="10">
        <v>340.46690000000001</v>
      </c>
      <c r="F14" s="10">
        <v>27328.603999999999</v>
      </c>
      <c r="G14" s="10">
        <v>0</v>
      </c>
      <c r="H14" s="10">
        <v>1103.7239999999999</v>
      </c>
      <c r="I14" s="10">
        <v>2691.7707</v>
      </c>
      <c r="J14" s="10">
        <v>50985.8</v>
      </c>
    </row>
    <row r="15" spans="1:10" x14ac:dyDescent="0.2">
      <c r="A15" s="9"/>
      <c r="B15" s="10" t="s">
        <v>44</v>
      </c>
      <c r="C15" s="10" t="s">
        <v>42</v>
      </c>
      <c r="D15" s="10">
        <v>0.88970000000000005</v>
      </c>
      <c r="E15" s="10">
        <v>340.46690000000001</v>
      </c>
      <c r="F15" s="10">
        <v>27328.603999999999</v>
      </c>
      <c r="G15" s="10">
        <v>0</v>
      </c>
      <c r="H15" s="10">
        <v>1103.7239999999999</v>
      </c>
      <c r="I15" s="10">
        <v>2691.7707</v>
      </c>
      <c r="J15" s="10">
        <v>50985.8</v>
      </c>
    </row>
    <row r="16" spans="1:10" x14ac:dyDescent="0.2">
      <c r="A16" s="9"/>
      <c r="B16" s="10" t="s">
        <v>42</v>
      </c>
      <c r="C16" s="10" t="s">
        <v>42</v>
      </c>
      <c r="D16" s="10">
        <v>1</v>
      </c>
      <c r="E16" s="10">
        <v>0</v>
      </c>
      <c r="F16" s="10">
        <v>0</v>
      </c>
      <c r="G16" s="10">
        <v>0</v>
      </c>
      <c r="H16" s="10">
        <v>1725.7103999999999</v>
      </c>
      <c r="I16" s="10">
        <v>3797.5257999999999</v>
      </c>
      <c r="J16" s="10">
        <v>50985.828000000001</v>
      </c>
    </row>
    <row r="17" spans="1:10" x14ac:dyDescent="0.2">
      <c r="A17" s="9"/>
      <c r="B17" s="10" t="s">
        <v>44</v>
      </c>
      <c r="C17" s="10" t="s">
        <v>44</v>
      </c>
      <c r="D17" s="10">
        <v>1</v>
      </c>
      <c r="E17" s="10">
        <v>0</v>
      </c>
      <c r="F17" s="10">
        <v>0</v>
      </c>
      <c r="G17" s="10">
        <v>0</v>
      </c>
      <c r="H17" s="10">
        <v>983.04480000000001</v>
      </c>
      <c r="I17" s="10">
        <v>2521.8072000000002</v>
      </c>
      <c r="J17" s="10">
        <v>45614.400000000001</v>
      </c>
    </row>
    <row r="21" spans="1:10" x14ac:dyDescent="0.2">
      <c r="B21" s="1" t="s">
        <v>52</v>
      </c>
      <c r="C21" s="1">
        <f>AVERAGE(D2,D3,D6,D7,D10,D11,D14,D15)</f>
        <v>0.89137500000000003</v>
      </c>
    </row>
    <row r="22" spans="1:10" x14ac:dyDescent="0.2">
      <c r="B22" s="1" t="s">
        <v>80</v>
      </c>
      <c r="C22" s="15">
        <f>(E2/J2+E6/J6+E10/J10+E14/J14)/4</f>
        <v>7.2396447081567727E-3</v>
      </c>
    </row>
    <row r="23" spans="1:10" x14ac:dyDescent="0.2">
      <c r="B23" s="1" t="s">
        <v>81</v>
      </c>
      <c r="C23" s="15">
        <f>(F3/J3+F7/J7+F11/J11+F15/J15)/4</f>
        <v>0.37325657973915916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timing</vt:lpstr>
      <vt:lpstr>path</vt:lpstr>
      <vt:lpstr>net_cap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이자강(전자전기공학과)</dc:creator>
  <cp:lastModifiedBy>이자강(전자전기공학과)</cp:lastModifiedBy>
  <dcterms:created xsi:type="dcterms:W3CDTF">2025-09-24T20:34:47Z</dcterms:created>
  <dcterms:modified xsi:type="dcterms:W3CDTF">2025-09-24T23:38:29Z</dcterms:modified>
</cp:coreProperties>
</file>